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achers\Downloads\"/>
    </mc:Choice>
  </mc:AlternateContent>
  <xr:revisionPtr revIDLastSave="0" documentId="13_ncr:1_{46D86740-CA72-4271-ACAA-AA9D5124CB97}" xr6:coauthVersionLast="47" xr6:coauthVersionMax="47" xr10:uidLastSave="{00000000-0000-0000-0000-000000000000}"/>
  <bookViews>
    <workbookView xWindow="-120" yWindow="-120" windowWidth="19440" windowHeight="15000" xr2:uid="{E65E7DCD-8AE8-4B9E-9AF7-2A75E52BC624}"/>
  </bookViews>
  <sheets>
    <sheet name="Markssheet" sheetId="11" r:id="rId1"/>
    <sheet name="Commission Calculation" sheetId="12" r:id="rId2"/>
    <sheet name="Assignment2" sheetId="14" r:id="rId3"/>
    <sheet name="Assignment3" sheetId="13" r:id="rId4"/>
    <sheet name="Assignment" sheetId="3" r:id="rId5"/>
    <sheet name="Salary Slip" sheetId="4" state="hidden" r:id="rId6"/>
    <sheet name="Attendance Sheet" sheetId="2" r:id="rId7"/>
    <sheet name="Parctice Sheet- Sumif" sheetId="7" r:id="rId8"/>
    <sheet name="Sheet1" sheetId="15" r:id="rId9"/>
    <sheet name="Sheet2" sheetId="16" r:id="rId10"/>
    <sheet name="Parctice Sheet-Sumifs" sheetId="6" state="hidden" r:id="rId11"/>
    <sheet name="Vlookup" sheetId="8" state="hidden" r:id="rId12"/>
    <sheet name="Vlookup1" sheetId="9" state="hidden" r:id="rId13"/>
    <sheet name="Vlookup 2" sheetId="10" state="hidden" r:id="rId14"/>
  </sheets>
  <externalReferences>
    <externalReference r:id="rId15"/>
  </externalReferences>
  <definedNames>
    <definedName name="_xlnm._FilterDatabase" localSheetId="7" hidden="1">'Parctice Sheet- Sumif'!$B$3:$H$22</definedName>
    <definedName name="_xlnm._FilterDatabase" localSheetId="10" hidden="1">'Parctice Sheet-Sumifs'!$B$3:$K$22</definedName>
    <definedName name="_xlnm.Print_Area" localSheetId="0">Markssheet!$A$2:$P$29</definedName>
    <definedName name="Sumarea">[1]Sumifs!$D$1:$D$32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2" i="11" l="1"/>
  <c r="AM6" i="2"/>
  <c r="AL6" i="2"/>
  <c r="AK6" i="2"/>
  <c r="A41" i="11"/>
  <c r="AJ6" i="2"/>
  <c r="A38" i="11"/>
  <c r="Z3" i="15"/>
  <c r="Z4" i="15"/>
  <c r="Z2" i="15"/>
  <c r="C29" i="15"/>
  <c r="V3" i="15"/>
  <c r="V5" i="15"/>
  <c r="V7" i="15"/>
  <c r="V9" i="15"/>
  <c r="V11" i="15"/>
  <c r="V13" i="15"/>
  <c r="V15" i="15"/>
  <c r="V17" i="15"/>
  <c r="V19" i="15"/>
  <c r="V21" i="15"/>
  <c r="V23" i="15"/>
  <c r="T3" i="15"/>
  <c r="T4" i="15"/>
  <c r="V4" i="15" s="1"/>
  <c r="T5" i="15"/>
  <c r="T6" i="15"/>
  <c r="V6" i="15" s="1"/>
  <c r="T7" i="15"/>
  <c r="T8" i="15"/>
  <c r="V8" i="15" s="1"/>
  <c r="T9" i="15"/>
  <c r="T10" i="15"/>
  <c r="V10" i="15" s="1"/>
  <c r="T11" i="15"/>
  <c r="T12" i="15"/>
  <c r="V12" i="15" s="1"/>
  <c r="T13" i="15"/>
  <c r="T14" i="15"/>
  <c r="V14" i="15" s="1"/>
  <c r="T15" i="15"/>
  <c r="T16" i="15"/>
  <c r="V16" i="15" s="1"/>
  <c r="T17" i="15"/>
  <c r="T18" i="15"/>
  <c r="V18" i="15" s="1"/>
  <c r="T19" i="15"/>
  <c r="T20" i="15"/>
  <c r="V20" i="15" s="1"/>
  <c r="T21" i="15"/>
  <c r="T22" i="15"/>
  <c r="V22" i="15" s="1"/>
  <c r="T23" i="15"/>
  <c r="T24" i="15"/>
  <c r="V24" i="15" s="1"/>
  <c r="T25" i="15"/>
  <c r="V25" i="15" s="1"/>
  <c r="T2" i="15"/>
  <c r="V2" i="15" s="1"/>
  <c r="C28" i="15"/>
  <c r="C27" i="15"/>
  <c r="C24" i="15"/>
  <c r="M4" i="11"/>
  <c r="M5" i="11"/>
  <c r="M6" i="11"/>
  <c r="M7" i="11"/>
  <c r="M8" i="11"/>
  <c r="M9" i="11"/>
  <c r="M10" i="11"/>
  <c r="M11" i="11"/>
  <c r="M12" i="11"/>
  <c r="M13" i="11"/>
  <c r="P3" i="15"/>
  <c r="C21" i="15"/>
  <c r="C20" i="15"/>
  <c r="C18" i="15"/>
  <c r="C17" i="15"/>
  <c r="C16" i="15"/>
  <c r="C1" i="15"/>
  <c r="C4" i="15" s="1"/>
  <c r="K2" i="13"/>
  <c r="J2" i="13"/>
  <c r="E2" i="14"/>
  <c r="F2" i="14" s="1"/>
  <c r="E2" i="12" a="1"/>
  <c r="E2" i="12"/>
  <c r="D2" i="12"/>
  <c r="L4" i="11" a="1"/>
  <c r="L4" i="11"/>
  <c r="G14" i="7"/>
  <c r="D35" i="11"/>
  <c r="D34" i="11"/>
  <c r="D32" i="11"/>
  <c r="D31" i="11"/>
  <c r="D29" i="11"/>
  <c r="D28" i="11"/>
  <c r="K24" i="11"/>
  <c r="L24" i="11" s="1"/>
  <c r="J24" i="11"/>
  <c r="K23" i="11"/>
  <c r="L23" i="11" s="1"/>
  <c r="J23" i="11"/>
  <c r="K22" i="11"/>
  <c r="L22" i="11" s="1"/>
  <c r="J22" i="11"/>
  <c r="K21" i="11"/>
  <c r="L21" i="11" s="1"/>
  <c r="J21" i="11"/>
  <c r="K20" i="11"/>
  <c r="L20" i="11" s="1"/>
  <c r="J20" i="11"/>
  <c r="K19" i="11"/>
  <c r="L19" i="11" s="1"/>
  <c r="J19" i="11"/>
  <c r="K18" i="11"/>
  <c r="L18" i="11" s="1"/>
  <c r="J18" i="11"/>
  <c r="L17" i="11"/>
  <c r="K17" i="11"/>
  <c r="J17" i="11"/>
  <c r="K16" i="11"/>
  <c r="L16" i="11" s="1"/>
  <c r="J16" i="11"/>
  <c r="K15" i="11"/>
  <c r="L15" i="11" s="1"/>
  <c r="J15" i="11"/>
  <c r="K14" i="11"/>
  <c r="L14" i="11" s="1"/>
  <c r="J14" i="11"/>
  <c r="K4" i="11"/>
  <c r="J4" i="11"/>
  <c r="K3" i="11"/>
  <c r="M3" i="11" s="1"/>
  <c r="J3" i="11"/>
  <c r="D42" i="11"/>
  <c r="D41" i="11"/>
  <c r="D40" i="11"/>
  <c r="D39" i="11"/>
  <c r="D38" i="11"/>
  <c r="F18" i="15"/>
  <c r="F11" i="15"/>
  <c r="F8" i="15"/>
  <c r="O13" i="11"/>
  <c r="O12" i="11"/>
  <c r="O11" i="11"/>
  <c r="O10" i="11"/>
  <c r="P8" i="11"/>
  <c r="P7" i="11"/>
  <c r="P6" i="11"/>
  <c r="G31" i="11"/>
  <c r="F24" i="15"/>
  <c r="F17" i="15"/>
  <c r="F9" i="15"/>
  <c r="F6" i="15"/>
  <c r="O3" i="11"/>
  <c r="O26" i="11"/>
  <c r="P11" i="11"/>
  <c r="P10" i="11"/>
  <c r="P5" i="11"/>
  <c r="P13" i="11"/>
  <c r="G32" i="11"/>
  <c r="F21" i="15"/>
  <c r="F16" i="15"/>
  <c r="F5" i="15"/>
  <c r="F4" i="15"/>
  <c r="P3" i="11"/>
  <c r="P9" i="11"/>
  <c r="P12" i="11"/>
  <c r="G34" i="11"/>
  <c r="G28" i="11"/>
  <c r="O5" i="11"/>
  <c r="O4" i="11"/>
  <c r="F20" i="15"/>
  <c r="F13" i="15"/>
  <c r="F12" i="15"/>
  <c r="F1" i="15"/>
  <c r="G35" i="11"/>
  <c r="G29" i="11"/>
  <c r="O9" i="11"/>
  <c r="O8" i="11"/>
  <c r="O7" i="11"/>
  <c r="O6" i="11"/>
  <c r="P4" i="11"/>
  <c r="A39" i="11" l="1"/>
  <c r="A40" i="11"/>
  <c r="L3" i="11"/>
  <c r="C13" i="15"/>
  <c r="C12" i="15"/>
  <c r="C11" i="15"/>
  <c r="C9" i="15"/>
  <c r="C8" i="15"/>
  <c r="C6" i="15"/>
  <c r="C5" i="15"/>
  <c r="E24" i="7"/>
  <c r="C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9" i="7"/>
  <c r="D8" i="7"/>
  <c r="G24" i="6"/>
  <c r="E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9" i="6"/>
  <c r="F8" i="6"/>
  <c r="E4" i="2" l="1"/>
  <c r="F4" i="2" s="1"/>
  <c r="G4" i="2" s="1"/>
  <c r="H4" i="2" s="1"/>
  <c r="I4" i="2" s="1"/>
  <c r="J4" i="2" s="1"/>
  <c r="K4" i="2" s="1"/>
  <c r="L4" i="2" s="1"/>
  <c r="M4" i="2" s="1"/>
  <c r="N4" i="2" s="1"/>
  <c r="O4" i="2" s="1"/>
  <c r="P4" i="2" s="1"/>
  <c r="Q4" i="2" s="1"/>
  <c r="R4" i="2" s="1"/>
  <c r="S4" i="2" s="1"/>
  <c r="T4" i="2" s="1"/>
  <c r="U4" i="2" s="1"/>
  <c r="V4" i="2" s="1"/>
  <c r="W4" i="2" s="1"/>
  <c r="X4" i="2" s="1"/>
  <c r="Y4" i="2" s="1"/>
  <c r="Z4" i="2" s="1"/>
  <c r="AA4" i="2" s="1"/>
  <c r="AB4" i="2" s="1"/>
  <c r="AC4" i="2" s="1"/>
  <c r="AD4" i="2" s="1"/>
  <c r="AE4" i="2" s="1"/>
  <c r="AF4" i="2" s="1"/>
  <c r="AG4" i="2" s="1"/>
  <c r="AH4" i="2" s="1"/>
  <c r="AI4" i="2" s="1"/>
  <c r="AI5" i="2" s="1"/>
  <c r="A1" i="3"/>
  <c r="AF5" i="2" l="1"/>
  <c r="X5" i="2"/>
  <c r="P5" i="2"/>
  <c r="H5" i="2"/>
  <c r="AE5" i="2"/>
  <c r="AA5" i="2"/>
  <c r="W5" i="2"/>
  <c r="S5" i="2"/>
  <c r="O5" i="2"/>
  <c r="K5" i="2"/>
  <c r="G5" i="2"/>
  <c r="AH5" i="2"/>
  <c r="AD5" i="2"/>
  <c r="Z5" i="2"/>
  <c r="V5" i="2"/>
  <c r="R5" i="2"/>
  <c r="N5" i="2"/>
  <c r="J5" i="2"/>
  <c r="F5" i="2"/>
  <c r="AB5" i="2"/>
  <c r="T5" i="2"/>
  <c r="L5" i="2"/>
  <c r="AG5" i="2"/>
  <c r="AC5" i="2"/>
  <c r="Y5" i="2"/>
  <c r="U5" i="2"/>
  <c r="Q5" i="2"/>
  <c r="M5" i="2"/>
  <c r="I5" i="2"/>
  <c r="E5" i="2"/>
  <c r="J21" i="3"/>
  <c r="J12" i="3"/>
  <c r="J9" i="3"/>
  <c r="J19" i="3"/>
  <c r="J13" i="3"/>
  <c r="J15" i="3"/>
  <c r="J11" i="3"/>
  <c r="J14" i="3"/>
  <c r="J10" i="3"/>
  <c r="J18" i="3"/>
  <c r="J7" i="3"/>
  <c r="J17" i="3"/>
  <c r="J20" i="3"/>
  <c r="J16" i="3"/>
  <c r="J8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<sst xmlns="http://schemas.openxmlformats.org/spreadsheetml/2006/main" count="678" uniqueCount="269">
  <si>
    <t>S.No.</t>
  </si>
  <si>
    <t>Roll Number</t>
  </si>
  <si>
    <t>Student Name</t>
  </si>
  <si>
    <t>Class</t>
  </si>
  <si>
    <t>PRESENT</t>
  </si>
  <si>
    <t>ABSENT</t>
  </si>
  <si>
    <t>LEAVE</t>
  </si>
  <si>
    <t>LATE</t>
  </si>
  <si>
    <t>%TAGE</t>
  </si>
  <si>
    <t>Asad</t>
  </si>
  <si>
    <t>X</t>
  </si>
  <si>
    <t>Basit</t>
  </si>
  <si>
    <t>Nasir</t>
  </si>
  <si>
    <t>Waseem</t>
  </si>
  <si>
    <t>Noman</t>
  </si>
  <si>
    <t>Akram</t>
  </si>
  <si>
    <t>Kalam</t>
  </si>
  <si>
    <t>Salman</t>
  </si>
  <si>
    <t>Fahman</t>
  </si>
  <si>
    <t>Usman</t>
  </si>
  <si>
    <t>Fatima</t>
  </si>
  <si>
    <t>Rida</t>
  </si>
  <si>
    <t>Nadia</t>
  </si>
  <si>
    <t>Sadia</t>
  </si>
  <si>
    <t>Saad</t>
  </si>
  <si>
    <t>Fahad</t>
  </si>
  <si>
    <t>Noshad</t>
  </si>
  <si>
    <t>Rabia</t>
  </si>
  <si>
    <t>Sajid</t>
  </si>
  <si>
    <t>Wajid</t>
  </si>
  <si>
    <t>Naveed</t>
  </si>
  <si>
    <t>Arbaz</t>
  </si>
  <si>
    <t>Abrar</t>
  </si>
  <si>
    <t>Shahid</t>
  </si>
  <si>
    <t>KARACHI TRADERS</t>
  </si>
  <si>
    <t>Salary for the Month of</t>
  </si>
  <si>
    <t>November'22</t>
  </si>
  <si>
    <t>Employee</t>
  </si>
  <si>
    <t>ID</t>
  </si>
  <si>
    <t>Basic Salary</t>
  </si>
  <si>
    <t>Payments</t>
  </si>
  <si>
    <t>Deductions</t>
  </si>
  <si>
    <t>Net Payable</t>
  </si>
  <si>
    <t>Calculation following</t>
  </si>
  <si>
    <t>Allowance</t>
  </si>
  <si>
    <t>Gross Total</t>
  </si>
  <si>
    <t>PF</t>
  </si>
  <si>
    <t>Income Tax</t>
  </si>
  <si>
    <t>Medical</t>
  </si>
  <si>
    <t>15% of Basic Salary</t>
  </si>
  <si>
    <t>House Rent</t>
  </si>
  <si>
    <t>Transportation</t>
  </si>
  <si>
    <t xml:space="preserve">House Rent </t>
  </si>
  <si>
    <t>35% of Basic Salary</t>
  </si>
  <si>
    <t>Muhammad Rashid</t>
  </si>
  <si>
    <t>10% of Basic Salary</t>
  </si>
  <si>
    <t>Shahid Raza</t>
  </si>
  <si>
    <t>Faisal Javed</t>
  </si>
  <si>
    <t>20% of Basic Salary</t>
  </si>
  <si>
    <t>Noman Sabir</t>
  </si>
  <si>
    <t>Income Tex</t>
  </si>
  <si>
    <t>17% of Gross Total</t>
  </si>
  <si>
    <t>Aftab Ali</t>
  </si>
  <si>
    <t>Mehtab Ali</t>
  </si>
  <si>
    <t>Sohail Ali</t>
  </si>
  <si>
    <t>Farhan Khan</t>
  </si>
  <si>
    <t>Abdul Saboor</t>
  </si>
  <si>
    <t>Fahad Khan</t>
  </si>
  <si>
    <t>Muhammad Bilal</t>
  </si>
  <si>
    <t>Faris Khan</t>
  </si>
  <si>
    <t>Waheed Ali</t>
  </si>
  <si>
    <t>Abrar Raza</t>
  </si>
  <si>
    <t>Waseem Akram</t>
  </si>
  <si>
    <t>Salary Slip</t>
  </si>
  <si>
    <t>Employee Name</t>
  </si>
  <si>
    <t>Employee ID</t>
  </si>
  <si>
    <t xml:space="preserve">Salary for the Month Of </t>
  </si>
  <si>
    <t>Earnings</t>
  </si>
  <si>
    <t>Deduction</t>
  </si>
  <si>
    <t>Description</t>
  </si>
  <si>
    <t>Amount</t>
  </si>
  <si>
    <t>Medical Allowance</t>
  </si>
  <si>
    <t>income Tax</t>
  </si>
  <si>
    <t>House Rent Allowance</t>
  </si>
  <si>
    <t>Transportation Allowance</t>
  </si>
  <si>
    <t>Total Earnings</t>
  </si>
  <si>
    <t>Total Deducation</t>
  </si>
  <si>
    <t>Net Salary</t>
  </si>
  <si>
    <t>Signature HR</t>
  </si>
  <si>
    <t>Signature Manager</t>
  </si>
  <si>
    <t>Month</t>
  </si>
  <si>
    <t>A</t>
  </si>
  <si>
    <t>Note:</t>
  </si>
  <si>
    <t>Mark Student Attendance by using A,P,L,X</t>
  </si>
  <si>
    <t>P</t>
  </si>
  <si>
    <t>=</t>
  </si>
  <si>
    <t>Present</t>
  </si>
  <si>
    <t>Absent</t>
  </si>
  <si>
    <t>L</t>
  </si>
  <si>
    <t>Leave</t>
  </si>
  <si>
    <t>Late</t>
  </si>
  <si>
    <t>Calculate</t>
  </si>
  <si>
    <t>Calculate total Present Value, Absent Value, Late Value, Leave Value by using Countif farmula</t>
  </si>
  <si>
    <t>and Calculate attendance percentage</t>
  </si>
  <si>
    <t>Date wise Purchases</t>
  </si>
  <si>
    <t xml:space="preserve">Product wise total Purchases </t>
  </si>
  <si>
    <t xml:space="preserve"> </t>
  </si>
  <si>
    <t xml:space="preserve">Date </t>
  </si>
  <si>
    <t xml:space="preserve">Name of Items </t>
  </si>
  <si>
    <t>City</t>
  </si>
  <si>
    <t xml:space="preserve">Quantity Purchase </t>
  </si>
  <si>
    <t xml:space="preserve">Rate </t>
  </si>
  <si>
    <t xml:space="preserve">Amount </t>
  </si>
  <si>
    <t>Name of Items</t>
  </si>
  <si>
    <t>Total Quantity for the Month</t>
  </si>
  <si>
    <t xml:space="preserve">Total Sale Amount </t>
  </si>
  <si>
    <t>Computer</t>
  </si>
  <si>
    <t>Karachi</t>
  </si>
  <si>
    <t xml:space="preserve">Laptop </t>
  </si>
  <si>
    <t>Lahore</t>
  </si>
  <si>
    <t>Keyboard</t>
  </si>
  <si>
    <t>Pindi</t>
  </si>
  <si>
    <t>Anti Virus</t>
  </si>
  <si>
    <t>Windows Software</t>
  </si>
  <si>
    <t xml:space="preserve">Total </t>
  </si>
  <si>
    <t>Laptop</t>
  </si>
  <si>
    <t>Raw Data Extract</t>
  </si>
  <si>
    <t>Pay Report</t>
  </si>
  <si>
    <t>Last Name</t>
  </si>
  <si>
    <t>First Name</t>
  </si>
  <si>
    <t>Pay</t>
  </si>
  <si>
    <t>Doe</t>
  </si>
  <si>
    <t>John</t>
  </si>
  <si>
    <t>Cline</t>
  </si>
  <si>
    <t>Andy</t>
  </si>
  <si>
    <t>Smith</t>
  </si>
  <si>
    <t>Pan</t>
  </si>
  <si>
    <t>Peter</t>
  </si>
  <si>
    <t>Favre</t>
  </si>
  <si>
    <t>Bret</t>
  </si>
  <si>
    <t>Elway</t>
  </si>
  <si>
    <t>Manning</t>
  </si>
  <si>
    <t>Eli</t>
  </si>
  <si>
    <t>Vick</t>
  </si>
  <si>
    <t>Micheal</t>
  </si>
  <si>
    <t>Woods</t>
  </si>
  <si>
    <t>Tiger</t>
  </si>
  <si>
    <t>Jordan</t>
  </si>
  <si>
    <t>Stark</t>
  </si>
  <si>
    <t>Tony</t>
  </si>
  <si>
    <t>Williams</t>
  </si>
  <si>
    <t>Prince</t>
  </si>
  <si>
    <t>Pitt</t>
  </si>
  <si>
    <t>Brad</t>
  </si>
  <si>
    <t>Note: Find First Name &amp; Last Name based on Employee Id</t>
  </si>
  <si>
    <t>Table # 1</t>
  </si>
  <si>
    <t>State</t>
  </si>
  <si>
    <t>Note: Find required data from table and and table two.</t>
  </si>
  <si>
    <t>Table # 2</t>
  </si>
  <si>
    <t>Columbus</t>
  </si>
  <si>
    <t>Ohio</t>
  </si>
  <si>
    <t>Chicago</t>
  </si>
  <si>
    <t>Illnois</t>
  </si>
  <si>
    <t>Tampa Bay</t>
  </si>
  <si>
    <t>Florida</t>
  </si>
  <si>
    <t>Austin</t>
  </si>
  <si>
    <t>Texas</t>
  </si>
  <si>
    <t>Pay Band Table</t>
  </si>
  <si>
    <t>Pay Min</t>
  </si>
  <si>
    <t>Pay Band</t>
  </si>
  <si>
    <t>Level A</t>
  </si>
  <si>
    <t>Level B</t>
  </si>
  <si>
    <t>Level C</t>
  </si>
  <si>
    <t>Level D</t>
  </si>
  <si>
    <t>Level E</t>
  </si>
  <si>
    <t>Name</t>
  </si>
  <si>
    <t>Father Name</t>
  </si>
  <si>
    <t>Roll No.</t>
  </si>
  <si>
    <t>Marks of Math</t>
  </si>
  <si>
    <t>Marks of Urdu</t>
  </si>
  <si>
    <t>Marks of English</t>
  </si>
  <si>
    <t>Marks of CHM</t>
  </si>
  <si>
    <t>Marks of BIO</t>
  </si>
  <si>
    <t>Total</t>
  </si>
  <si>
    <t>Percentage</t>
  </si>
  <si>
    <t>Grade</t>
  </si>
  <si>
    <t>Zahid</t>
  </si>
  <si>
    <t>Khalid</t>
  </si>
  <si>
    <t>Wahid</t>
  </si>
  <si>
    <t>Imran</t>
  </si>
  <si>
    <t>Farhan</t>
  </si>
  <si>
    <t>Shamahad</t>
  </si>
  <si>
    <t>Waheed</t>
  </si>
  <si>
    <t>Saboor</t>
  </si>
  <si>
    <t>Bilal</t>
  </si>
  <si>
    <t>Saida</t>
  </si>
  <si>
    <t>Kamal</t>
  </si>
  <si>
    <t>Saba</t>
  </si>
  <si>
    <t>Faraz</t>
  </si>
  <si>
    <t>Nasra</t>
  </si>
  <si>
    <t>Farooq</t>
  </si>
  <si>
    <t>Product</t>
  </si>
  <si>
    <t>Monthly Sale</t>
  </si>
  <si>
    <t>Commission</t>
  </si>
  <si>
    <t>Condition</t>
  </si>
  <si>
    <t>Book</t>
  </si>
  <si>
    <t>if Monthly Sales More then 15000 give 10% Commission of Sale, if Monthly Sales More then 5000 give 5% Commision of Sale other wise 0 Commission</t>
  </si>
  <si>
    <t>Pen</t>
  </si>
  <si>
    <t>Copy</t>
  </si>
  <si>
    <t>Quantity</t>
  </si>
  <si>
    <t>Per Unit</t>
  </si>
  <si>
    <t>Sale Amount</t>
  </si>
  <si>
    <t>Apple</t>
  </si>
  <si>
    <t>Mango</t>
  </si>
  <si>
    <t>Banana</t>
  </si>
  <si>
    <t>Pinapple</t>
  </si>
  <si>
    <t>Orange</t>
  </si>
  <si>
    <t>Total Quantity</t>
  </si>
  <si>
    <t>Total Amount</t>
  </si>
  <si>
    <t>CALCULATE</t>
  </si>
  <si>
    <t>Apply if farmula in Price, if quantity more then 1000 then price will be 10 , if quantity more then 500 price will be 15 and if quantity less then 500 price will be 20</t>
  </si>
  <si>
    <t>Calculate sale amount.</t>
  </si>
  <si>
    <t>Faisal</t>
  </si>
  <si>
    <t>Majid</t>
  </si>
  <si>
    <t>Kamran</t>
  </si>
  <si>
    <t>Babar</t>
  </si>
  <si>
    <t>Wahab</t>
  </si>
  <si>
    <t>Furqan</t>
  </si>
  <si>
    <t>Current Date</t>
  </si>
  <si>
    <t>Current date and Time</t>
  </si>
  <si>
    <t>Find Minimum Value</t>
  </si>
  <si>
    <t>Find Maximum Value</t>
  </si>
  <si>
    <t>Find 2nd Smallest Value</t>
  </si>
  <si>
    <t>Find 2nd largest  Value</t>
  </si>
  <si>
    <t>SUM IF</t>
  </si>
  <si>
    <t>IF</t>
  </si>
  <si>
    <t>IFS</t>
  </si>
  <si>
    <t>Previous Date</t>
  </si>
  <si>
    <t xml:space="preserve">Month </t>
  </si>
  <si>
    <t>Year</t>
  </si>
  <si>
    <t>Day</t>
  </si>
  <si>
    <t>Next Month Same Date</t>
  </si>
  <si>
    <t>Next Month End of Date</t>
  </si>
  <si>
    <t>Find Power of any Number</t>
  </si>
  <si>
    <t>Calculate Sq Root</t>
  </si>
  <si>
    <t>Log</t>
  </si>
  <si>
    <t>RandBetween</t>
  </si>
  <si>
    <t>Randam Number</t>
  </si>
  <si>
    <t>Combine Two Data in One cell</t>
  </si>
  <si>
    <t>Remarks</t>
  </si>
  <si>
    <t>Ali</t>
  </si>
  <si>
    <t>LEFT</t>
  </si>
  <si>
    <t>Right</t>
  </si>
  <si>
    <t>LEN</t>
  </si>
  <si>
    <t>021-111337337</t>
  </si>
  <si>
    <t>021-3234347</t>
  </si>
  <si>
    <t>Muhammad</t>
  </si>
  <si>
    <t>Manzoor</t>
  </si>
  <si>
    <t>Alam</t>
  </si>
  <si>
    <t>Syed</t>
  </si>
  <si>
    <t>Abbas</t>
  </si>
  <si>
    <t>Rashid</t>
  </si>
  <si>
    <t>ali</t>
  </si>
  <si>
    <t>Abdi</t>
  </si>
  <si>
    <t>Khan</t>
  </si>
  <si>
    <t>Manzoor Alai</t>
  </si>
  <si>
    <t xml:space="preserve"> Karachi</t>
  </si>
  <si>
    <t>Number cell</t>
  </si>
  <si>
    <t>asad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</si>
</sst>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_);[Red]\(&quot;$&quot;#,##0\)"/>
    <numFmt numFmtId="43" formatCode="_(* #,##0.00_);_(* \(#,##0.00\);_(* &quot;-&quot;??_);_(@_)"/>
    <numFmt numFmtId="164" formatCode="_(* #,##0_);_(* \(#,##0\);_(* &quot;-&quot;??_);_(@_)"/>
    <numFmt numFmtId="165" formatCode="[$-409]d\-mmm;@"/>
    <numFmt numFmtId="166" formatCode="[$-409]d\-mmm\-yy;@"/>
    <numFmt numFmtId="167" formatCode="_ * #,##0.00_ ;_ * \-#,##0.00_ ;_ * &quot;-&quot;??_ ;_ @_ "/>
    <numFmt numFmtId="168" formatCode="_ * #,##0_ ;_ * \-#,##0_ ;_ * &quot;-&quot;??_ ;_ @_ 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name val="Aatrix OCR A Extended"/>
    </font>
    <font>
      <b/>
      <sz val="26"/>
      <name val="Aatrix OCR A Extended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mbria"/>
      <family val="2"/>
    </font>
    <font>
      <sz val="12"/>
      <color theme="1"/>
      <name val="Verdana"/>
      <family val="2"/>
    </font>
    <font>
      <b/>
      <sz val="18"/>
      <color rgb="FF006838"/>
      <name val="Cambria"/>
      <family val="1"/>
    </font>
    <font>
      <b/>
      <sz val="12"/>
      <color theme="1"/>
      <name val="Verdana"/>
      <family val="2"/>
    </font>
    <font>
      <b/>
      <sz val="16"/>
      <color rgb="FF002060"/>
      <name val="Verdana"/>
      <family val="2"/>
    </font>
    <font>
      <sz val="10"/>
      <color theme="1"/>
      <name val="Verdana"/>
      <family val="2"/>
    </font>
    <font>
      <b/>
      <sz val="10"/>
      <color theme="0"/>
      <name val="Verdana"/>
      <family val="2"/>
    </font>
    <font>
      <b/>
      <sz val="10"/>
      <color theme="1"/>
      <name val="Verdana"/>
      <family val="2"/>
    </font>
    <font>
      <b/>
      <sz val="12"/>
      <color theme="0"/>
      <name val="Verdana"/>
      <family val="2"/>
    </font>
    <font>
      <b/>
      <sz val="16"/>
      <color rgb="FF414042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6"/>
      <color rgb="FFF1BD62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8BB2FF"/>
        <bgColor indexed="64"/>
      </patternFill>
    </fill>
    <fill>
      <patternFill patternType="solid">
        <fgColor rgb="FF414042"/>
        <bgColor rgb="FF000000"/>
      </patternFill>
    </fill>
    <fill>
      <patternFill patternType="solid">
        <fgColor rgb="FFF1BD62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double">
        <color rgb="FF002060"/>
      </bottom>
      <diagonal/>
    </border>
    <border>
      <left/>
      <right/>
      <top/>
      <bottom style="medium">
        <color rgb="FF414042"/>
      </bottom>
      <diagonal/>
    </border>
    <border>
      <left/>
      <right/>
      <top/>
      <bottom style="medium">
        <color rgb="FFF1BD62"/>
      </bottom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/>
      <top/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8" fillId="0" borderId="0"/>
    <xf numFmtId="167" fontId="8" fillId="0" borderId="0" applyFont="0" applyFill="0" applyBorder="0" applyAlignment="0" applyProtection="0"/>
  </cellStyleXfs>
  <cellXfs count="105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textRotation="180" wrapText="1"/>
    </xf>
    <xf numFmtId="0" fontId="2" fillId="2" borderId="1" xfId="0" applyFont="1" applyFill="1" applyBorder="1" applyAlignment="1">
      <alignment vertical="center" textRotation="90" wrapText="1"/>
    </xf>
    <xf numFmtId="0" fontId="0" fillId="0" borderId="0" xfId="0" applyAlignment="1">
      <alignment vertical="center" wrapText="1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6" fillId="12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 wrapText="1"/>
    </xf>
    <xf numFmtId="0" fontId="0" fillId="0" borderId="1" xfId="0" applyBorder="1"/>
    <xf numFmtId="164" fontId="0" fillId="0" borderId="1" xfId="1" applyNumberFormat="1" applyFont="1" applyBorder="1"/>
    <xf numFmtId="164" fontId="0" fillId="0" borderId="1" xfId="0" applyNumberFormat="1" applyBorder="1"/>
    <xf numFmtId="164" fontId="0" fillId="0" borderId="0" xfId="1" applyNumberFormat="1" applyFont="1" applyBorder="1"/>
    <xf numFmtId="0" fontId="2" fillId="15" borderId="5" xfId="0" applyFont="1" applyFill="1" applyBorder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2" fillId="15" borderId="7" xfId="0" applyFont="1" applyFill="1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2" fillId="15" borderId="10" xfId="0" applyFont="1" applyFill="1" applyBorder="1"/>
    <xf numFmtId="0" fontId="2" fillId="15" borderId="11" xfId="0" applyFont="1" applyFill="1" applyBorder="1"/>
    <xf numFmtId="0" fontId="2" fillId="15" borderId="12" xfId="0" applyFont="1" applyFill="1" applyBorder="1"/>
    <xf numFmtId="0" fontId="2" fillId="0" borderId="8" xfId="0" applyFont="1" applyBorder="1"/>
    <xf numFmtId="0" fontId="0" fillId="0" borderId="13" xfId="0" applyBorder="1"/>
    <xf numFmtId="14" fontId="0" fillId="0" borderId="0" xfId="0" applyNumberFormat="1"/>
    <xf numFmtId="0" fontId="0" fillId="16" borderId="1" xfId="0" applyFill="1" applyBorder="1" applyAlignment="1">
      <alignment horizontal="center"/>
    </xf>
    <xf numFmtId="0" fontId="0" fillId="16" borderId="1" xfId="0" applyFill="1" applyBorder="1" applyAlignment="1">
      <alignment horizontal="left"/>
    </xf>
    <xf numFmtId="0" fontId="0" fillId="17" borderId="0" xfId="0" applyFill="1"/>
    <xf numFmtId="164" fontId="0" fillId="0" borderId="1" xfId="1" applyNumberFormat="1" applyFont="1" applyFill="1" applyBorder="1"/>
    <xf numFmtId="165" fontId="2" fillId="3" borderId="1" xfId="0" applyNumberFormat="1" applyFont="1" applyFill="1" applyBorder="1" applyAlignment="1">
      <alignment horizontal="center" vertical="center" textRotation="90" wrapText="1"/>
    </xf>
    <xf numFmtId="0" fontId="9" fillId="0" borderId="0" xfId="2" applyFont="1"/>
    <xf numFmtId="0" fontId="10" fillId="0" borderId="0" xfId="2" applyFont="1"/>
    <xf numFmtId="0" fontId="11" fillId="0" borderId="0" xfId="2" applyFont="1" applyAlignment="1">
      <alignment horizontal="left"/>
    </xf>
    <xf numFmtId="0" fontId="12" fillId="0" borderId="0" xfId="2" applyFont="1"/>
    <xf numFmtId="0" fontId="13" fillId="0" borderId="0" xfId="2" applyFont="1" applyAlignment="1">
      <alignment vertical="center"/>
    </xf>
    <xf numFmtId="0" fontId="14" fillId="18" borderId="15" xfId="2" applyFont="1" applyFill="1" applyBorder="1" applyAlignment="1">
      <alignment horizontal="center" vertical="center"/>
    </xf>
    <xf numFmtId="0" fontId="14" fillId="18" borderId="15" xfId="2" applyFont="1" applyFill="1" applyBorder="1" applyAlignment="1">
      <alignment horizontal="center" vertical="center" wrapText="1"/>
    </xf>
    <xf numFmtId="0" fontId="15" fillId="0" borderId="0" xfId="2" applyFont="1" applyAlignment="1">
      <alignment vertical="center" wrapText="1"/>
    </xf>
    <xf numFmtId="166" fontId="9" fillId="0" borderId="15" xfId="2" applyNumberFormat="1" applyFont="1" applyBorder="1" applyAlignment="1">
      <alignment horizontal="center" vertical="center"/>
    </xf>
    <xf numFmtId="0" fontId="9" fillId="0" borderId="15" xfId="2" applyFont="1" applyBorder="1" applyAlignment="1">
      <alignment horizontal="left" vertical="center"/>
    </xf>
    <xf numFmtId="168" fontId="9" fillId="0" borderId="15" xfId="3" applyNumberFormat="1" applyFont="1" applyBorder="1" applyAlignment="1">
      <alignment horizontal="center" vertical="center"/>
    </xf>
    <xf numFmtId="168" fontId="9" fillId="0" borderId="15" xfId="3" applyNumberFormat="1" applyFont="1" applyBorder="1" applyAlignment="1">
      <alignment vertical="center"/>
    </xf>
    <xf numFmtId="168" fontId="11" fillId="19" borderId="15" xfId="3" applyNumberFormat="1" applyFont="1" applyFill="1" applyBorder="1" applyAlignment="1">
      <alignment horizontal="left" vertical="center"/>
    </xf>
    <xf numFmtId="168" fontId="11" fillId="19" borderId="15" xfId="3" applyNumberFormat="1" applyFont="1" applyFill="1" applyBorder="1" applyAlignment="1">
      <alignment horizontal="right" vertical="center"/>
    </xf>
    <xf numFmtId="0" fontId="11" fillId="0" borderId="16" xfId="2" applyFont="1" applyBorder="1"/>
    <xf numFmtId="168" fontId="11" fillId="0" borderId="16" xfId="3" applyNumberFormat="1" applyFont="1" applyBorder="1"/>
    <xf numFmtId="0" fontId="9" fillId="0" borderId="0" xfId="2" applyFont="1" applyAlignment="1">
      <alignment vertical="center"/>
    </xf>
    <xf numFmtId="0" fontId="16" fillId="18" borderId="15" xfId="2" applyFont="1" applyFill="1" applyBorder="1" applyAlignment="1">
      <alignment horizontal="center" vertical="center" wrapText="1"/>
    </xf>
    <xf numFmtId="0" fontId="11" fillId="0" borderId="0" xfId="2" applyFont="1" applyAlignment="1">
      <alignment vertical="center" wrapText="1"/>
    </xf>
    <xf numFmtId="0" fontId="18" fillId="0" borderId="0" xfId="0" applyFont="1"/>
    <xf numFmtId="0" fontId="20" fillId="20" borderId="19" xfId="0" applyFont="1" applyFill="1" applyBorder="1" applyAlignment="1">
      <alignment horizontal="center"/>
    </xf>
    <xf numFmtId="0" fontId="20" fillId="20" borderId="20" xfId="0" applyFont="1" applyFill="1" applyBorder="1" applyAlignment="1">
      <alignment horizontal="center"/>
    </xf>
    <xf numFmtId="0" fontId="20" fillId="20" borderId="21" xfId="0" applyFont="1" applyFill="1" applyBorder="1" applyAlignment="1">
      <alignment horizontal="center"/>
    </xf>
    <xf numFmtId="0" fontId="20" fillId="21" borderId="19" xfId="0" applyFont="1" applyFill="1" applyBorder="1" applyAlignment="1">
      <alignment horizontal="center"/>
    </xf>
    <xf numFmtId="0" fontId="20" fillId="21" borderId="20" xfId="0" applyFont="1" applyFill="1" applyBorder="1" applyAlignment="1">
      <alignment horizontal="center"/>
    </xf>
    <xf numFmtId="0" fontId="20" fillId="21" borderId="21" xfId="0" applyFont="1" applyFill="1" applyBorder="1" applyAlignment="1">
      <alignment horizontal="center"/>
    </xf>
    <xf numFmtId="6" fontId="18" fillId="0" borderId="0" xfId="0" applyNumberFormat="1" applyFont="1"/>
    <xf numFmtId="0" fontId="18" fillId="22" borderId="0" xfId="0" applyFont="1" applyFill="1"/>
    <xf numFmtId="0" fontId="20" fillId="21" borderId="1" xfId="0" applyFont="1" applyFill="1" applyBorder="1" applyAlignment="1">
      <alignment horizontal="center"/>
    </xf>
    <xf numFmtId="0" fontId="18" fillId="0" borderId="1" xfId="0" applyFont="1" applyBorder="1"/>
    <xf numFmtId="6" fontId="18" fillId="0" borderId="1" xfId="0" applyNumberFormat="1" applyFont="1" applyBorder="1"/>
    <xf numFmtId="0" fontId="18" fillId="22" borderId="1" xfId="0" applyFont="1" applyFill="1" applyBorder="1"/>
    <xf numFmtId="0" fontId="20" fillId="20" borderId="1" xfId="0" applyFont="1" applyFill="1" applyBorder="1" applyAlignment="1">
      <alignment horizontal="center"/>
    </xf>
    <xf numFmtId="0" fontId="18" fillId="0" borderId="1" xfId="0" applyFont="1" applyBorder="1" applyAlignment="1">
      <alignment horizontal="left" vertical="center" indent="1"/>
    </xf>
    <xf numFmtId="9" fontId="18" fillId="0" borderId="1" xfId="0" applyNumberFormat="1" applyFont="1" applyBorder="1" applyAlignment="1">
      <alignment horizontal="center" vertical="center"/>
    </xf>
    <xf numFmtId="0" fontId="7" fillId="23" borderId="1" xfId="0" applyFont="1" applyFill="1" applyBorder="1" applyAlignment="1">
      <alignment horizontal="center" wrapText="1"/>
    </xf>
    <xf numFmtId="0" fontId="7" fillId="23" borderId="0" xfId="0" applyFont="1" applyFill="1" applyAlignment="1">
      <alignment horizontal="center" wrapText="1"/>
    </xf>
    <xf numFmtId="0" fontId="7" fillId="23" borderId="22" xfId="0" applyFont="1" applyFill="1" applyBorder="1" applyAlignment="1">
      <alignment horizontal="center" wrapText="1"/>
    </xf>
    <xf numFmtId="1" fontId="0" fillId="0" borderId="1" xfId="0" applyNumberFormat="1" applyBorder="1"/>
    <xf numFmtId="0" fontId="2" fillId="0" borderId="0" xfId="0" applyFont="1"/>
    <xf numFmtId="0" fontId="7" fillId="23" borderId="1" xfId="0" applyFont="1" applyFill="1" applyBorder="1"/>
    <xf numFmtId="0" fontId="2" fillId="0" borderId="1" xfId="0" applyFont="1" applyBorder="1"/>
    <xf numFmtId="22" fontId="0" fillId="0" borderId="0" xfId="0" applyNumberFormat="1"/>
    <xf numFmtId="0" fontId="9" fillId="0" borderId="1" xfId="2" applyFont="1" applyBorder="1"/>
    <xf numFmtId="166" fontId="0" fillId="0" borderId="0" xfId="0" applyNumberFormat="1"/>
    <xf numFmtId="2" fontId="0" fillId="0" borderId="0" xfId="0" applyNumberFormat="1"/>
    <xf numFmtId="1" fontId="0" fillId="0" borderId="0" xfId="0" applyNumberFormat="1"/>
    <xf numFmtId="0" fontId="21" fillId="0" borderId="0" xfId="0" applyFont="1" applyAlignment="1">
      <alignment horizontal="center" wrapText="1"/>
    </xf>
    <xf numFmtId="0" fontId="0" fillId="0" borderId="0" xfId="0" applyAlignment="1">
      <alignment horizontal="left" vertical="top" wrapText="1"/>
    </xf>
    <xf numFmtId="0" fontId="5" fillId="11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 wrapText="1"/>
    </xf>
    <xf numFmtId="0" fontId="4" fillId="13" borderId="0" xfId="0" applyFont="1" applyFill="1" applyAlignment="1">
      <alignment horizontal="center"/>
    </xf>
    <xf numFmtId="0" fontId="4" fillId="14" borderId="0" xfId="0" applyFont="1" applyFill="1" applyAlignment="1">
      <alignment horizontal="center"/>
    </xf>
    <xf numFmtId="0" fontId="2" fillId="15" borderId="2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2" fillId="15" borderId="4" xfId="0" applyFont="1" applyFill="1" applyBorder="1" applyAlignment="1">
      <alignment horizontal="center"/>
    </xf>
    <xf numFmtId="0" fontId="12" fillId="0" borderId="0" xfId="2" applyFont="1" applyAlignment="1">
      <alignment horizontal="left"/>
    </xf>
    <xf numFmtId="0" fontId="12" fillId="0" borderId="14" xfId="2" applyFont="1" applyBorder="1" applyAlignment="1">
      <alignment horizontal="left"/>
    </xf>
    <xf numFmtId="0" fontId="17" fillId="0" borderId="17" xfId="0" applyFont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7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7" fillId="2" borderId="1" xfId="0" applyFont="1" applyFill="1" applyBorder="1" applyAlignment="1">
      <alignment horizontal="center" wrapText="1"/>
    </xf>
    <xf numFmtId="0" fontId="0" fillId="3" borderId="1" xfId="0" applyFill="1" applyBorder="1"/>
  </cellXfs>
  <cellStyles count="4">
    <cellStyle name="Comma" xfId="1" builtinId="3"/>
    <cellStyle name="Comma 2" xfId="3" xr:uid="{867C39A6-59F0-47FC-A361-96DE2CA4B617}"/>
    <cellStyle name="Normal" xfId="0" builtinId="0"/>
    <cellStyle name="Normal 2" xfId="2" xr:uid="{A3B52E50-C499-4B64-928C-C7E8BCF20EAC}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Manzoor/Desktop/Class%20Excel.xlsx" TargetMode="External"/><Relationship Id="rId2" Type="http://schemas.openxmlformats.org/officeDocument/2006/relationships/externalLinkPath" Target="file:///C:\Users\Manzoor\Desktop\Class%20Excel.xlsx" TargetMode="External"/><Relationship Id="rId1" Type="http://schemas.openxmlformats.org/officeDocument/2006/relationships/externalLinkPath" Target="/Users/Manzoor/Desktop/Class%20Exc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rkssheet"/>
      <sheetName val="Commission Calculation"/>
      <sheetName val="Test"/>
      <sheetName val="Test2"/>
      <sheetName val="Sumifs"/>
      <sheetName val="Averageif"/>
      <sheetName val="Counts"/>
      <sheetName val="Roman"/>
      <sheetName val="Chart"/>
      <sheetName val="Working with Text"/>
      <sheetName val="Lookups"/>
      <sheetName val="Date Time"/>
      <sheetName val="ANDOR"/>
      <sheetName val="Assignment"/>
      <sheetName val="Sheet1"/>
      <sheetName val="Salary Slip"/>
      <sheetName val="Attendance Sheet"/>
      <sheetName val="Exata"/>
    </sheetNames>
    <sheetDataSet>
      <sheetData sheetId="0"/>
      <sheetData sheetId="1"/>
      <sheetData sheetId="2"/>
      <sheetData sheetId="3"/>
      <sheetData sheetId="4">
        <row r="1">
          <cell r="D1" t="str">
            <v>Per Day Sale</v>
          </cell>
        </row>
        <row r="2">
          <cell r="D2">
            <v>1390</v>
          </cell>
        </row>
        <row r="3">
          <cell r="D3">
            <v>889</v>
          </cell>
        </row>
        <row r="4">
          <cell r="D4">
            <v>1380</v>
          </cell>
        </row>
        <row r="5">
          <cell r="D5">
            <v>797</v>
          </cell>
        </row>
        <row r="6">
          <cell r="D6">
            <v>1382</v>
          </cell>
        </row>
        <row r="7">
          <cell r="D7">
            <v>742</v>
          </cell>
        </row>
        <row r="8">
          <cell r="D8">
            <v>704</v>
          </cell>
        </row>
        <row r="9">
          <cell r="D9">
            <v>1091</v>
          </cell>
        </row>
        <row r="10">
          <cell r="D10">
            <v>1475</v>
          </cell>
        </row>
        <row r="11">
          <cell r="D11">
            <v>509</v>
          </cell>
        </row>
        <row r="12">
          <cell r="D12">
            <v>507</v>
          </cell>
        </row>
        <row r="13">
          <cell r="D13">
            <v>1342</v>
          </cell>
        </row>
        <row r="14">
          <cell r="D14">
            <v>760</v>
          </cell>
        </row>
        <row r="15">
          <cell r="D15">
            <v>911</v>
          </cell>
        </row>
        <row r="16">
          <cell r="D16">
            <v>1406</v>
          </cell>
        </row>
        <row r="17">
          <cell r="D17">
            <v>952</v>
          </cell>
        </row>
        <row r="18">
          <cell r="D18">
            <v>541</v>
          </cell>
        </row>
        <row r="19">
          <cell r="D19">
            <v>1074</v>
          </cell>
        </row>
        <row r="20">
          <cell r="D20">
            <v>948</v>
          </cell>
        </row>
        <row r="21">
          <cell r="D21">
            <v>1314</v>
          </cell>
        </row>
        <row r="22">
          <cell r="D22">
            <v>821</v>
          </cell>
        </row>
        <row r="23">
          <cell r="D23">
            <v>712</v>
          </cell>
        </row>
        <row r="24">
          <cell r="D24">
            <v>960</v>
          </cell>
        </row>
        <row r="25">
          <cell r="D25">
            <v>742</v>
          </cell>
        </row>
        <row r="26">
          <cell r="D26">
            <v>1393</v>
          </cell>
        </row>
        <row r="27">
          <cell r="D27">
            <v>833</v>
          </cell>
        </row>
        <row r="28">
          <cell r="D28">
            <v>1430</v>
          </cell>
        </row>
        <row r="29">
          <cell r="D29">
            <v>1446</v>
          </cell>
        </row>
        <row r="30">
          <cell r="D30">
            <v>1462</v>
          </cell>
        </row>
        <row r="31">
          <cell r="D31">
            <v>727</v>
          </cell>
        </row>
        <row r="32">
          <cell r="D32">
            <v>1142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E830B-A537-4FEF-B114-67382A86BF7A}">
  <sheetPr>
    <pageSetUpPr fitToPage="1"/>
  </sheetPr>
  <dimension ref="A1:P42"/>
  <sheetViews>
    <sheetView tabSelected="1" workbookViewId="0">
      <selection activeCell="A38" sqref="A38:G42"/>
    </sheetView>
  </sheetViews>
  <sheetFormatPr defaultRowHeight="15"/>
  <cols>
    <col min="1" max="1" width="10.140625" bestFit="1" customWidth="1"/>
    <col min="2" max="2" width="12.42578125" bestFit="1" customWidth="1"/>
    <col min="3" max="3" width="5.42578125" bestFit="1" customWidth="1"/>
    <col min="4" max="4" width="14.85546875" bestFit="1" customWidth="1"/>
    <col min="5" max="5" width="8" bestFit="1" customWidth="1"/>
    <col min="6" max="6" width="7.7109375" bestFit="1" customWidth="1"/>
    <col min="7" max="7" width="8.7109375" bestFit="1" customWidth="1"/>
    <col min="8" max="8" width="7.5703125" bestFit="1" customWidth="1"/>
    <col min="9" max="9" width="6.42578125" bestFit="1" customWidth="1"/>
    <col min="10" max="10" width="5.42578125" bestFit="1" customWidth="1"/>
    <col min="11" max="11" width="11" bestFit="1" customWidth="1"/>
    <col min="12" max="12" width="9.7109375" bestFit="1" customWidth="1"/>
    <col min="14" max="14" width="32.140625" customWidth="1"/>
    <col min="15" max="15" width="16.28515625" bestFit="1" customWidth="1"/>
    <col min="16" max="16" width="18.140625" bestFit="1" customWidth="1"/>
    <col min="17" max="17" width="23.28515625" customWidth="1"/>
    <col min="18" max="18" width="18" customWidth="1"/>
  </cols>
  <sheetData>
    <row r="1" spans="1:16">
      <c r="A1" s="25"/>
    </row>
    <row r="2" spans="1:16" ht="30.75" customHeight="1">
      <c r="A2" s="103" t="s">
        <v>175</v>
      </c>
      <c r="B2" s="103" t="s">
        <v>176</v>
      </c>
      <c r="C2" s="103" t="s">
        <v>3</v>
      </c>
      <c r="D2" s="103" t="s">
        <v>177</v>
      </c>
      <c r="E2" s="103" t="s">
        <v>178</v>
      </c>
      <c r="F2" s="103" t="s">
        <v>179</v>
      </c>
      <c r="G2" s="103" t="s">
        <v>180</v>
      </c>
      <c r="H2" s="103" t="s">
        <v>181</v>
      </c>
      <c r="I2" s="103" t="s">
        <v>182</v>
      </c>
      <c r="J2" s="103" t="s">
        <v>183</v>
      </c>
      <c r="K2" s="66" t="s">
        <v>184</v>
      </c>
      <c r="L2" s="66" t="s">
        <v>185</v>
      </c>
      <c r="M2" s="67" t="s">
        <v>249</v>
      </c>
      <c r="O2" s="68" t="s">
        <v>183</v>
      </c>
      <c r="P2" s="66" t="s">
        <v>184</v>
      </c>
    </row>
    <row r="3" spans="1:16">
      <c r="A3" s="5" t="s">
        <v>9</v>
      </c>
      <c r="B3" s="5" t="s">
        <v>11</v>
      </c>
      <c r="C3" s="5" t="s">
        <v>10</v>
      </c>
      <c r="D3" s="5">
        <v>1210</v>
      </c>
      <c r="E3" s="5">
        <v>85</v>
      </c>
      <c r="F3" s="5">
        <v>85</v>
      </c>
      <c r="G3" s="5">
        <v>82</v>
      </c>
      <c r="H3" s="5">
        <v>90</v>
      </c>
      <c r="I3" s="5">
        <v>90</v>
      </c>
      <c r="J3" s="5">
        <f>E3+F3+G3+H3+I3</f>
        <v>432</v>
      </c>
      <c r="K3" s="69">
        <f>AVERAGE(E3:I3)</f>
        <v>86.4</v>
      </c>
      <c r="L3" s="11" t="str">
        <f>IF(K3&gt;=80,"A-1",IF(K3&gt;=70,"A"))</f>
        <v>A-1</v>
      </c>
      <c r="M3" t="str">
        <f>CONCATENATE(A3," is getting ",K3, " Percentage")</f>
        <v>Asad is getting 86.4 Percentage</v>
      </c>
      <c r="O3" t="str">
        <f t="shared" ref="O3:P13" ca="1" si="0">_xlfn.FORMULATEXT(J3)</f>
        <v>=E3+F3+G3+H3+I3</v>
      </c>
      <c r="P3" t="str">
        <f ca="1">_xlfn.FORMULATEXT(K3)</f>
        <v>=AVERAGE(E3:I3)</v>
      </c>
    </row>
    <row r="4" spans="1:16">
      <c r="A4" s="5" t="s">
        <v>12</v>
      </c>
      <c r="B4" s="5" t="s">
        <v>186</v>
      </c>
      <c r="C4" s="5" t="s">
        <v>10</v>
      </c>
      <c r="D4" s="5">
        <v>1211</v>
      </c>
      <c r="E4" s="5">
        <v>65</v>
      </c>
      <c r="F4" s="5">
        <v>65</v>
      </c>
      <c r="G4" s="5">
        <v>65</v>
      </c>
      <c r="H4" s="5">
        <v>98</v>
      </c>
      <c r="I4" s="5">
        <v>77</v>
      </c>
      <c r="J4" s="5">
        <f>SUM(E4:I4)</f>
        <v>370</v>
      </c>
      <c r="K4" s="69">
        <f>AVERAGE(E4:I4)</f>
        <v>74</v>
      </c>
      <c r="L4" s="11" t="str" cm="1">
        <f t="array" ref="L4">_xlfn.IFS(K4&gt;=80,"A-1",K4&gt;=70,"A",K4&gt;=60,"B",K4&gt;=50,"C")</f>
        <v>A</v>
      </c>
      <c r="M4" t="str">
        <f t="shared" ref="M4:M13" si="1">CONCATENATE(A4," is getting ",K4, " Percentage")</f>
        <v>Nasir is getting 74 Percentage</v>
      </c>
      <c r="O4" t="str">
        <f t="shared" ca="1" si="0"/>
        <v>=SUM(E4:I4)</v>
      </c>
      <c r="P4" t="str">
        <f t="shared" ca="1" si="0"/>
        <v>=AVERAGE(E4:I4)</v>
      </c>
    </row>
    <row r="5" spans="1:16">
      <c r="A5" s="5" t="s">
        <v>33</v>
      </c>
      <c r="B5" s="5" t="s">
        <v>187</v>
      </c>
      <c r="C5" s="5" t="s">
        <v>10</v>
      </c>
      <c r="D5" s="5">
        <v>1212</v>
      </c>
      <c r="E5" s="5">
        <v>55</v>
      </c>
      <c r="F5" s="5">
        <v>55</v>
      </c>
      <c r="G5" s="5">
        <v>58</v>
      </c>
      <c r="H5" s="5">
        <v>58</v>
      </c>
      <c r="I5" s="5">
        <v>98</v>
      </c>
      <c r="J5" s="5"/>
      <c r="K5" s="69"/>
      <c r="L5" s="11"/>
      <c r="M5" t="str">
        <f t="shared" si="1"/>
        <v>Shahid is getting  Percentage</v>
      </c>
      <c r="O5" t="e">
        <f t="shared" ca="1" si="0"/>
        <v>#N/A</v>
      </c>
      <c r="P5" t="e">
        <f t="shared" ca="1" si="0"/>
        <v>#N/A</v>
      </c>
    </row>
    <row r="6" spans="1:16">
      <c r="A6" s="5" t="s">
        <v>188</v>
      </c>
      <c r="B6" s="5" t="s">
        <v>268</v>
      </c>
      <c r="C6" s="5" t="s">
        <v>10</v>
      </c>
      <c r="D6" s="5">
        <v>1213</v>
      </c>
      <c r="E6" s="5">
        <v>45</v>
      </c>
      <c r="F6" s="5">
        <v>45</v>
      </c>
      <c r="G6" s="5">
        <v>68</v>
      </c>
      <c r="H6" s="5">
        <v>48</v>
      </c>
      <c r="I6" s="5">
        <v>58</v>
      </c>
      <c r="J6" s="5"/>
      <c r="K6" s="69"/>
      <c r="L6" s="11"/>
      <c r="M6" t="str">
        <f t="shared" si="1"/>
        <v>Wahid is getting  Percentage</v>
      </c>
      <c r="O6" t="e">
        <f t="shared" ca="1" si="0"/>
        <v>#N/A</v>
      </c>
      <c r="P6" t="e">
        <f t="shared" ca="1" si="0"/>
        <v>#N/A</v>
      </c>
    </row>
    <row r="7" spans="1:16">
      <c r="A7" s="5" t="s">
        <v>32</v>
      </c>
      <c r="B7" s="5" t="s">
        <v>189</v>
      </c>
      <c r="C7" s="5" t="s">
        <v>10</v>
      </c>
      <c r="D7" s="5">
        <v>1214</v>
      </c>
      <c r="E7" s="5">
        <v>45</v>
      </c>
      <c r="F7" s="5">
        <v>45</v>
      </c>
      <c r="G7" s="5">
        <v>45</v>
      </c>
      <c r="H7" s="5">
        <v>45</v>
      </c>
      <c r="I7" s="5">
        <v>45</v>
      </c>
      <c r="J7" s="5"/>
      <c r="K7" s="69"/>
      <c r="L7" s="11"/>
      <c r="M7" t="str">
        <f t="shared" si="1"/>
        <v>Abrar is getting  Percentage</v>
      </c>
      <c r="O7" t="e">
        <f t="shared" ca="1" si="0"/>
        <v>#N/A</v>
      </c>
      <c r="P7" t="e">
        <f t="shared" ca="1" si="0"/>
        <v>#N/A</v>
      </c>
    </row>
    <row r="8" spans="1:16">
      <c r="A8" s="5" t="s">
        <v>9</v>
      </c>
      <c r="B8" s="5" t="s">
        <v>11</v>
      </c>
      <c r="C8" s="5" t="s">
        <v>10</v>
      </c>
      <c r="D8" s="5">
        <v>1215</v>
      </c>
      <c r="E8" s="5">
        <v>39</v>
      </c>
      <c r="F8" s="5">
        <v>40</v>
      </c>
      <c r="G8" s="5">
        <v>40</v>
      </c>
      <c r="H8" s="5">
        <v>40</v>
      </c>
      <c r="I8" s="5">
        <v>40</v>
      </c>
      <c r="J8" s="5"/>
      <c r="K8" s="69"/>
      <c r="L8" s="11"/>
      <c r="M8" t="str">
        <f t="shared" si="1"/>
        <v>Asad is getting  Percentage</v>
      </c>
      <c r="O8" t="e">
        <f t="shared" ca="1" si="0"/>
        <v>#N/A</v>
      </c>
      <c r="P8" t="e">
        <f t="shared" ca="1" si="0"/>
        <v>#N/A</v>
      </c>
    </row>
    <row r="9" spans="1:16">
      <c r="A9" s="5" t="s">
        <v>14</v>
      </c>
      <c r="B9" s="5" t="s">
        <v>190</v>
      </c>
      <c r="C9" s="5" t="s">
        <v>10</v>
      </c>
      <c r="D9" s="5">
        <v>1216</v>
      </c>
      <c r="E9" s="5">
        <v>45</v>
      </c>
      <c r="F9" s="5">
        <v>98</v>
      </c>
      <c r="G9" s="5">
        <v>91</v>
      </c>
      <c r="H9" s="5">
        <v>91</v>
      </c>
      <c r="I9" s="5">
        <v>98</v>
      </c>
      <c r="J9" s="5"/>
      <c r="K9" s="69"/>
      <c r="L9" s="11"/>
      <c r="M9" t="str">
        <f t="shared" si="1"/>
        <v>Noman is getting  Percentage</v>
      </c>
      <c r="O9" t="e">
        <f t="shared" ca="1" si="0"/>
        <v>#N/A</v>
      </c>
      <c r="P9" t="e">
        <f t="shared" ca="1" si="0"/>
        <v>#N/A</v>
      </c>
    </row>
    <row r="10" spans="1:16">
      <c r="A10" s="5" t="s">
        <v>191</v>
      </c>
      <c r="B10" s="5" t="s">
        <v>33</v>
      </c>
      <c r="C10" s="5" t="s">
        <v>10</v>
      </c>
      <c r="D10" s="5">
        <v>1217</v>
      </c>
      <c r="E10" s="5">
        <v>68</v>
      </c>
      <c r="F10" s="5">
        <v>58</v>
      </c>
      <c r="G10" s="104">
        <v>90</v>
      </c>
      <c r="H10" s="5">
        <v>77</v>
      </c>
      <c r="I10" s="5">
        <v>77</v>
      </c>
      <c r="J10" s="5"/>
      <c r="K10" s="69"/>
      <c r="L10" s="11"/>
      <c r="M10" t="str">
        <f t="shared" si="1"/>
        <v>Shamahad is getting  Percentage</v>
      </c>
      <c r="O10" t="e">
        <f t="shared" ca="1" si="0"/>
        <v>#N/A</v>
      </c>
      <c r="P10" t="e">
        <f t="shared" ca="1" si="0"/>
        <v>#N/A</v>
      </c>
    </row>
    <row r="11" spans="1:16">
      <c r="A11" s="5" t="s">
        <v>190</v>
      </c>
      <c r="B11" s="5" t="s">
        <v>192</v>
      </c>
      <c r="C11" s="5" t="s">
        <v>10</v>
      </c>
      <c r="D11" s="5">
        <v>1218</v>
      </c>
      <c r="E11" s="5">
        <v>85</v>
      </c>
      <c r="F11" s="5">
        <v>85</v>
      </c>
      <c r="G11" s="5">
        <v>98</v>
      </c>
      <c r="H11" s="5">
        <v>98</v>
      </c>
      <c r="I11" s="5">
        <v>98</v>
      </c>
      <c r="J11" s="5"/>
      <c r="K11" s="69"/>
      <c r="L11" s="11"/>
      <c r="M11" t="str">
        <f t="shared" si="1"/>
        <v>Farhan is getting  Percentage</v>
      </c>
      <c r="O11" t="e">
        <f t="shared" ca="1" si="0"/>
        <v>#N/A</v>
      </c>
      <c r="P11" t="e">
        <f t="shared" ca="1" si="0"/>
        <v>#N/A</v>
      </c>
    </row>
    <row r="12" spans="1:16">
      <c r="A12" s="5" t="s">
        <v>19</v>
      </c>
      <c r="B12" s="5" t="s">
        <v>193</v>
      </c>
      <c r="C12" s="5" t="s">
        <v>10</v>
      </c>
      <c r="D12" s="5">
        <v>1219</v>
      </c>
      <c r="E12" s="5">
        <v>56</v>
      </c>
      <c r="F12" s="5">
        <v>44</v>
      </c>
      <c r="G12" s="5">
        <v>68</v>
      </c>
      <c r="H12" s="5">
        <v>48</v>
      </c>
      <c r="I12" s="5">
        <v>58</v>
      </c>
      <c r="J12" s="5"/>
      <c r="K12" s="69"/>
      <c r="L12" s="11"/>
      <c r="M12" t="str">
        <f t="shared" si="1"/>
        <v>Usman is getting  Percentage</v>
      </c>
      <c r="O12" t="e">
        <f t="shared" ca="1" si="0"/>
        <v>#N/A</v>
      </c>
      <c r="P12" t="e">
        <f t="shared" ca="1" si="0"/>
        <v>#N/A</v>
      </c>
    </row>
    <row r="13" spans="1:16">
      <c r="A13" s="5" t="s">
        <v>27</v>
      </c>
      <c r="B13" s="5" t="s">
        <v>194</v>
      </c>
      <c r="C13" s="5" t="s">
        <v>10</v>
      </c>
      <c r="D13" s="5">
        <v>1220</v>
      </c>
      <c r="E13" s="5">
        <v>35</v>
      </c>
      <c r="F13" s="5">
        <v>35</v>
      </c>
      <c r="G13" s="5">
        <v>35</v>
      </c>
      <c r="H13" s="5">
        <v>35</v>
      </c>
      <c r="I13" s="5">
        <v>65</v>
      </c>
      <c r="J13" s="5"/>
      <c r="K13" s="69"/>
      <c r="L13" s="11"/>
      <c r="M13" t="str">
        <f t="shared" si="1"/>
        <v>Rabia is getting  Percentage</v>
      </c>
      <c r="O13" t="e">
        <f t="shared" ca="1" si="0"/>
        <v>#N/A</v>
      </c>
      <c r="P13" t="e">
        <f t="shared" ca="1" si="0"/>
        <v>#N/A</v>
      </c>
    </row>
    <row r="14" spans="1:16" hidden="1">
      <c r="A14" s="11" t="s">
        <v>195</v>
      </c>
      <c r="B14" s="11" t="s">
        <v>196</v>
      </c>
      <c r="C14" s="11" t="s">
        <v>10</v>
      </c>
      <c r="D14" s="11">
        <v>1221</v>
      </c>
      <c r="E14" s="11">
        <v>65</v>
      </c>
      <c r="F14" s="11">
        <v>78</v>
      </c>
      <c r="G14" s="11">
        <v>98</v>
      </c>
      <c r="H14" s="11">
        <v>98</v>
      </c>
      <c r="I14" s="11">
        <v>77</v>
      </c>
      <c r="J14" s="11">
        <f t="shared" ref="J14:J24" si="2">SUM(E14:I14)</f>
        <v>416</v>
      </c>
      <c r="K14" s="69">
        <f t="shared" ref="K14:K24" si="3">AVERAGE(E14:I14)</f>
        <v>83.2</v>
      </c>
      <c r="L14" s="11" t="str">
        <f t="shared" ref="L14:L24" si="4">IF(K14&gt;=80,"A-1 Grade",IF(K14&gt;=70,"A Grade",IF(K14&gt;=60,"B Grade",IF(K14&gt;=50,"C Grade",IF(K14&gt;=40,"D Grade",IF(K14&lt;40,"Fail"))))))</f>
        <v>A-1 Grade</v>
      </c>
    </row>
    <row r="15" spans="1:16" hidden="1">
      <c r="A15" s="11" t="s">
        <v>197</v>
      </c>
      <c r="B15" s="11" t="s">
        <v>192</v>
      </c>
      <c r="C15" s="11" t="s">
        <v>10</v>
      </c>
      <c r="D15" s="11">
        <v>1222</v>
      </c>
      <c r="E15" s="11">
        <v>65</v>
      </c>
      <c r="F15" s="11">
        <v>91</v>
      </c>
      <c r="G15" s="11">
        <v>58</v>
      </c>
      <c r="H15" s="11">
        <v>58</v>
      </c>
      <c r="I15" s="11">
        <v>98</v>
      </c>
      <c r="J15" s="11">
        <f t="shared" si="2"/>
        <v>370</v>
      </c>
      <c r="K15" s="69">
        <f t="shared" si="3"/>
        <v>74</v>
      </c>
      <c r="L15" s="11" t="str">
        <f t="shared" si="4"/>
        <v>A Grade</v>
      </c>
    </row>
    <row r="16" spans="1:16" hidden="1">
      <c r="A16" s="11" t="s">
        <v>198</v>
      </c>
      <c r="B16" s="11" t="s">
        <v>190</v>
      </c>
      <c r="C16" s="11" t="s">
        <v>10</v>
      </c>
      <c r="D16" s="11">
        <v>1223</v>
      </c>
      <c r="E16" s="11">
        <v>78</v>
      </c>
      <c r="F16" s="11">
        <v>77</v>
      </c>
      <c r="G16" s="11">
        <v>48</v>
      </c>
      <c r="H16" s="11">
        <v>68</v>
      </c>
      <c r="I16" s="11">
        <v>58</v>
      </c>
      <c r="J16" s="11">
        <f t="shared" si="2"/>
        <v>329</v>
      </c>
      <c r="K16" s="69">
        <f t="shared" si="3"/>
        <v>65.8</v>
      </c>
      <c r="L16" s="11" t="str">
        <f t="shared" si="4"/>
        <v>B Grade</v>
      </c>
    </row>
    <row r="17" spans="1:16" hidden="1">
      <c r="A17" s="11" t="s">
        <v>199</v>
      </c>
      <c r="B17" s="11" t="s">
        <v>186</v>
      </c>
      <c r="C17" s="11" t="s">
        <v>10</v>
      </c>
      <c r="D17" s="11">
        <v>1224</v>
      </c>
      <c r="E17" s="11">
        <v>91</v>
      </c>
      <c r="F17" s="11">
        <v>98</v>
      </c>
      <c r="G17" s="11">
        <v>65</v>
      </c>
      <c r="H17" s="11">
        <v>65</v>
      </c>
      <c r="I17" s="11">
        <v>91</v>
      </c>
      <c r="J17" s="11">
        <f t="shared" si="2"/>
        <v>410</v>
      </c>
      <c r="K17" s="69">
        <f t="shared" si="3"/>
        <v>82</v>
      </c>
      <c r="L17" s="11" t="str">
        <f t="shared" si="4"/>
        <v>A-1 Grade</v>
      </c>
    </row>
    <row r="18" spans="1:16" hidden="1">
      <c r="A18" s="11" t="s">
        <v>187</v>
      </c>
      <c r="B18" s="11" t="s">
        <v>190</v>
      </c>
      <c r="C18" s="11" t="s">
        <v>10</v>
      </c>
      <c r="D18" s="11">
        <v>1225</v>
      </c>
      <c r="E18" s="11">
        <v>77</v>
      </c>
      <c r="F18" s="11">
        <v>71</v>
      </c>
      <c r="G18" s="11">
        <v>78</v>
      </c>
      <c r="H18" s="11">
        <v>78</v>
      </c>
      <c r="I18" s="11">
        <v>77</v>
      </c>
      <c r="J18" s="11">
        <f t="shared" si="2"/>
        <v>381</v>
      </c>
      <c r="K18" s="69">
        <f t="shared" si="3"/>
        <v>76.2</v>
      </c>
      <c r="L18" s="11" t="str">
        <f t="shared" si="4"/>
        <v>A Grade</v>
      </c>
    </row>
    <row r="19" spans="1:16" hidden="1">
      <c r="A19" s="11" t="s">
        <v>13</v>
      </c>
      <c r="B19" s="11" t="s">
        <v>33</v>
      </c>
      <c r="C19" s="11" t="s">
        <v>10</v>
      </c>
      <c r="D19" s="11">
        <v>1226</v>
      </c>
      <c r="E19" s="11">
        <v>98</v>
      </c>
      <c r="F19" s="11">
        <v>45</v>
      </c>
      <c r="G19" s="11">
        <v>91</v>
      </c>
      <c r="H19" s="11">
        <v>91</v>
      </c>
      <c r="I19" s="11">
        <v>98</v>
      </c>
      <c r="J19" s="11">
        <f t="shared" si="2"/>
        <v>423</v>
      </c>
      <c r="K19" s="69">
        <f t="shared" si="3"/>
        <v>84.6</v>
      </c>
      <c r="L19" s="11" t="str">
        <f t="shared" si="4"/>
        <v>A-1 Grade</v>
      </c>
    </row>
    <row r="20" spans="1:16" hidden="1">
      <c r="A20" s="11" t="s">
        <v>189</v>
      </c>
      <c r="B20" s="11" t="s">
        <v>192</v>
      </c>
      <c r="C20" s="11" t="s">
        <v>10</v>
      </c>
      <c r="D20" s="11">
        <v>1227</v>
      </c>
      <c r="E20" s="11">
        <v>58</v>
      </c>
      <c r="F20" s="11">
        <v>68</v>
      </c>
      <c r="G20" s="11">
        <v>77</v>
      </c>
      <c r="H20" s="11">
        <v>77</v>
      </c>
      <c r="I20" s="11">
        <v>77</v>
      </c>
      <c r="J20" s="11">
        <f t="shared" si="2"/>
        <v>357</v>
      </c>
      <c r="K20" s="69">
        <f t="shared" si="3"/>
        <v>71.400000000000006</v>
      </c>
      <c r="L20" s="11" t="str">
        <f t="shared" si="4"/>
        <v>A Grade</v>
      </c>
    </row>
    <row r="21" spans="1:16" hidden="1">
      <c r="A21" s="11" t="s">
        <v>14</v>
      </c>
      <c r="B21" s="11" t="s">
        <v>193</v>
      </c>
      <c r="C21" s="11" t="s">
        <v>10</v>
      </c>
      <c r="D21" s="11">
        <v>1228</v>
      </c>
      <c r="E21" s="11">
        <v>85</v>
      </c>
      <c r="F21" s="11">
        <v>85</v>
      </c>
      <c r="G21" s="11">
        <v>98</v>
      </c>
      <c r="H21" s="11">
        <v>98</v>
      </c>
      <c r="I21" s="11">
        <v>98</v>
      </c>
      <c r="J21" s="11">
        <f t="shared" si="2"/>
        <v>464</v>
      </c>
      <c r="K21" s="69">
        <f t="shared" si="3"/>
        <v>92.8</v>
      </c>
      <c r="L21" s="11" t="str">
        <f t="shared" si="4"/>
        <v>A-1 Grade</v>
      </c>
    </row>
    <row r="22" spans="1:16" hidden="1">
      <c r="A22" s="11" t="s">
        <v>190</v>
      </c>
      <c r="B22" s="11" t="s">
        <v>194</v>
      </c>
      <c r="C22" s="11" t="s">
        <v>10</v>
      </c>
      <c r="D22" s="11">
        <v>1229</v>
      </c>
      <c r="E22" s="11">
        <v>45</v>
      </c>
      <c r="F22" s="11">
        <v>56</v>
      </c>
      <c r="G22" s="11">
        <v>48</v>
      </c>
      <c r="H22" s="11">
        <v>68</v>
      </c>
      <c r="I22" s="11">
        <v>58</v>
      </c>
      <c r="J22" s="11">
        <f t="shared" si="2"/>
        <v>275</v>
      </c>
      <c r="K22" s="69">
        <f t="shared" si="3"/>
        <v>55</v>
      </c>
      <c r="L22" s="11" t="str">
        <f t="shared" si="4"/>
        <v>C Grade</v>
      </c>
    </row>
    <row r="23" spans="1:16" hidden="1">
      <c r="A23" s="11" t="s">
        <v>33</v>
      </c>
      <c r="B23" s="11" t="s">
        <v>196</v>
      </c>
      <c r="C23" s="11" t="s">
        <v>10</v>
      </c>
      <c r="D23" s="11">
        <v>1230</v>
      </c>
      <c r="E23" s="11">
        <v>85</v>
      </c>
      <c r="F23" s="11">
        <v>85</v>
      </c>
      <c r="G23" s="11">
        <v>98</v>
      </c>
      <c r="H23" s="11">
        <v>98</v>
      </c>
      <c r="I23" s="11">
        <v>98</v>
      </c>
      <c r="J23" s="11">
        <f t="shared" si="2"/>
        <v>464</v>
      </c>
      <c r="K23" s="69">
        <f t="shared" si="3"/>
        <v>92.8</v>
      </c>
      <c r="L23" s="11" t="str">
        <f t="shared" si="4"/>
        <v>A-1 Grade</v>
      </c>
    </row>
    <row r="24" spans="1:16" hidden="1">
      <c r="A24" s="11" t="s">
        <v>192</v>
      </c>
      <c r="B24" s="11" t="s">
        <v>200</v>
      </c>
      <c r="C24" s="11" t="s">
        <v>10</v>
      </c>
      <c r="D24" s="11">
        <v>1231</v>
      </c>
      <c r="E24" s="11">
        <v>78</v>
      </c>
      <c r="F24" s="11">
        <v>77</v>
      </c>
      <c r="G24" s="11">
        <v>48</v>
      </c>
      <c r="H24" s="11">
        <v>68</v>
      </c>
      <c r="I24" s="11">
        <v>58</v>
      </c>
      <c r="J24" s="11">
        <f t="shared" si="2"/>
        <v>329</v>
      </c>
      <c r="K24" s="69">
        <f t="shared" si="3"/>
        <v>65.8</v>
      </c>
      <c r="L24" s="11" t="str">
        <f t="shared" si="4"/>
        <v>B Grade</v>
      </c>
    </row>
    <row r="26" spans="1:16" ht="15" customHeight="1">
      <c r="N26" s="66" t="s">
        <v>185</v>
      </c>
      <c r="O26" s="78" t="str">
        <f ca="1">_xlfn.FORMULATEXT(L3)</f>
        <v>=IF(K3&gt;=80,"A-1",IF(K3&gt;=70,"A"))</v>
      </c>
      <c r="P26" s="78"/>
    </row>
    <row r="27" spans="1:16">
      <c r="N27" s="66"/>
      <c r="O27" s="78"/>
      <c r="P27" s="78"/>
    </row>
    <row r="28" spans="1:16">
      <c r="A28" t="s">
        <v>228</v>
      </c>
      <c r="D28" s="25">
        <f ca="1">TODAY()</f>
        <v>46282</v>
      </c>
      <c r="G28" t="str">
        <f ca="1">_xlfn.FORMULATEXT(D28)</f>
        <v>=TODAY()</v>
      </c>
      <c r="N28" s="66"/>
      <c r="O28" s="78"/>
      <c r="P28" s="78"/>
    </row>
    <row r="29" spans="1:16">
      <c r="A29" t="s">
        <v>229</v>
      </c>
      <c r="D29" s="73">
        <f ca="1">NOW()</f>
        <v>46282.823207754627</v>
      </c>
      <c r="G29" t="str">
        <f ca="1">_xlfn.FORMULATEXT(D29)</f>
        <v>=NOW()</v>
      </c>
      <c r="N29" s="66"/>
      <c r="O29" s="78"/>
      <c r="P29" s="78"/>
    </row>
    <row r="31" spans="1:16">
      <c r="A31" t="s">
        <v>230</v>
      </c>
      <c r="D31">
        <f>MIN(E3:I13)</f>
        <v>35</v>
      </c>
      <c r="G31" t="str">
        <f ca="1">_xlfn.FORMULATEXT(D31)</f>
        <v>=MIN(E3:I13)</v>
      </c>
    </row>
    <row r="32" spans="1:16">
      <c r="A32" t="s">
        <v>231</v>
      </c>
      <c r="D32">
        <f>MAX(E4:I14)</f>
        <v>98</v>
      </c>
      <c r="G32" t="str">
        <f ca="1">_xlfn.FORMULATEXT(D32)</f>
        <v>=MAX(E4:I14)</v>
      </c>
    </row>
    <row r="34" spans="1:7">
      <c r="A34" t="s">
        <v>232</v>
      </c>
      <c r="D34">
        <f>SMALL(E3:I13,2)</f>
        <v>35</v>
      </c>
      <c r="G34" t="str">
        <f ca="1">_xlfn.FORMULATEXT(D34)</f>
        <v>=SMALL(E3:I13,2)</v>
      </c>
    </row>
    <row r="35" spans="1:7">
      <c r="A35" t="s">
        <v>233</v>
      </c>
      <c r="D35">
        <f>LARGE(E4:I14,2)</f>
        <v>98</v>
      </c>
      <c r="G35" t="str">
        <f ca="1">_xlfn.FORMULATEXT(D35)</f>
        <v>=LARGE(E4:I14,2)</v>
      </c>
    </row>
    <row r="38" spans="1:7">
      <c r="A38">
        <f>COUNT(A2:J13)</f>
        <v>68</v>
      </c>
      <c r="B38" t="s">
        <v>267</v>
      </c>
      <c r="D38" t="str">
        <f ca="1">_xlfn.FORMULATEXT(A38)</f>
        <v>=COUNT(A2:J13)</v>
      </c>
    </row>
    <row r="39" spans="1:7">
      <c r="A39">
        <f>COUNTA(A2:J13)</f>
        <v>111</v>
      </c>
      <c r="D39" t="str">
        <f ca="1">_xlfn.FORMULATEXT(A39)</f>
        <v>=COUNTA(A2:J13)</v>
      </c>
    </row>
    <row r="40" spans="1:7">
      <c r="A40">
        <f>COUNTBLANK(A2:J13)</f>
        <v>9</v>
      </c>
      <c r="D40" t="str">
        <f ca="1">_xlfn.FORMULATEXT(A40)</f>
        <v>=COUNTBLANK(A2:J13)</v>
      </c>
    </row>
    <row r="41" spans="1:7">
      <c r="A41">
        <f>COUNTIF(A2:J13,85)</f>
        <v>4</v>
      </c>
      <c r="D41" t="str">
        <f ca="1">_xlfn.FORMULATEXT(A41)</f>
        <v>=COUNTIF(A2:J13,85)</v>
      </c>
    </row>
    <row r="42" spans="1:7">
      <c r="A42">
        <f>COUNTIFS(A2:A13,"Asad",B2:B13,"Basit")</f>
        <v>2</v>
      </c>
      <c r="D42" t="str">
        <f ca="1">_xlfn.FORMULATEXT(A42)</f>
        <v>=COUNTIFS(A2:A13,"Asad",B2:B13,"Basit")</v>
      </c>
    </row>
  </sheetData>
  <mergeCells count="1">
    <mergeCell ref="O26:P29"/>
  </mergeCells>
  <printOptions headings="1"/>
  <pageMargins left="0.7" right="0.7" top="0.75" bottom="0.75" header="0.3" footer="0.3"/>
  <pageSetup scale="75" orientation="landscape"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90DBB55A-7B5D-4AEB-920C-8FF23AA65FE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Markssheet!E3:I3</xm:f>
              <xm:sqref>Q3</xm:sqref>
            </x14:sparkline>
          </x14:sparklines>
        </x14:sparklineGroup>
        <x14:sparklineGroup type="column" displayEmptyCellsAs="gap" xr2:uid="{62C4C8B6-FD4A-4BA0-9E4F-52387FEFDA1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Markssheet!E3:I3</xm:f>
              <xm:sqref>R3</xm:sqref>
            </x14:sparkline>
          </x14:sparklines>
        </x14:sparklineGroup>
        <x14:sparklineGroup type="stacked" displayEmptyCellsAs="gap" negative="1" xr2:uid="{9150879F-05C5-4B66-A08D-11527A08116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Markssheet!E3:I3</xm:f>
              <xm:sqref>S3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F2638-F6A4-4390-BA5B-F97E412F3FCD}">
  <dimension ref="A1:J8"/>
  <sheetViews>
    <sheetView workbookViewId="0">
      <selection activeCell="E6" sqref="E6"/>
    </sheetView>
  </sheetViews>
  <sheetFormatPr defaultRowHeight="15"/>
  <cols>
    <col min="1" max="1" width="7.42578125" bestFit="1" customWidth="1"/>
    <col min="3" max="3" width="12.5703125" bestFit="1" customWidth="1"/>
    <col min="4" max="4" width="11.85546875" bestFit="1" customWidth="1"/>
    <col min="5" max="5" width="66.42578125" customWidth="1"/>
    <col min="7" max="7" width="12.42578125" customWidth="1"/>
  </cols>
  <sheetData>
    <row r="1" spans="1:10" ht="30">
      <c r="A1" s="66" t="s">
        <v>175</v>
      </c>
      <c r="B1" s="66" t="s">
        <v>201</v>
      </c>
      <c r="C1" s="66" t="s">
        <v>202</v>
      </c>
      <c r="D1" s="66" t="s">
        <v>203</v>
      </c>
      <c r="G1" s="70" t="s">
        <v>204</v>
      </c>
    </row>
    <row r="2" spans="1:10">
      <c r="A2" s="11" t="s">
        <v>9</v>
      </c>
      <c r="B2" s="11" t="s">
        <v>205</v>
      </c>
      <c r="C2" s="11">
        <v>4999</v>
      </c>
      <c r="D2" s="11">
        <f>IF(C2&gt;=15000,C2*10%,IF(C2&gt;=5000,C2*5%,0))</f>
        <v>0</v>
      </c>
      <c r="E2" cm="1">
        <f t="array" ref="E2">_xlfn.IFS(C2&gt;=15000,C2*10%,C2&gt;=5000,C2*5%,C2&lt;5000,0)</f>
        <v>0</v>
      </c>
      <c r="G2" s="79" t="s">
        <v>206</v>
      </c>
      <c r="H2" s="79"/>
      <c r="I2" s="79"/>
      <c r="J2" s="79"/>
    </row>
    <row r="3" spans="1:10">
      <c r="A3" s="11" t="s">
        <v>12</v>
      </c>
      <c r="B3" s="11" t="s">
        <v>207</v>
      </c>
      <c r="C3" s="11">
        <v>5500</v>
      </c>
      <c r="D3" s="11"/>
      <c r="G3" s="79"/>
      <c r="H3" s="79"/>
      <c r="I3" s="79"/>
      <c r="J3" s="79"/>
    </row>
    <row r="4" spans="1:10">
      <c r="A4" s="11" t="s">
        <v>33</v>
      </c>
      <c r="B4" s="11" t="s">
        <v>208</v>
      </c>
      <c r="C4" s="11">
        <v>8000</v>
      </c>
      <c r="D4" s="11"/>
      <c r="E4" t="s">
        <v>235</v>
      </c>
      <c r="G4" s="79"/>
      <c r="H4" s="79"/>
      <c r="I4" s="79"/>
      <c r="J4" s="79"/>
    </row>
    <row r="5" spans="1:10">
      <c r="A5" s="11" t="s">
        <v>188</v>
      </c>
      <c r="B5" s="11" t="s">
        <v>205</v>
      </c>
      <c r="C5" s="11">
        <v>10000</v>
      </c>
      <c r="D5" s="11"/>
      <c r="E5" t="s">
        <v>236</v>
      </c>
      <c r="G5" s="79"/>
      <c r="H5" s="79"/>
      <c r="I5" s="79"/>
      <c r="J5" s="79"/>
    </row>
    <row r="6" spans="1:10">
      <c r="A6" s="11" t="s">
        <v>32</v>
      </c>
      <c r="B6" s="11" t="s">
        <v>205</v>
      </c>
      <c r="C6" s="11">
        <v>15500</v>
      </c>
      <c r="D6" s="11"/>
    </row>
    <row r="7" spans="1:10">
      <c r="A7" s="11" t="s">
        <v>25</v>
      </c>
      <c r="B7" s="11" t="s">
        <v>207</v>
      </c>
      <c r="C7" s="11">
        <v>16000</v>
      </c>
      <c r="D7" s="11"/>
    </row>
    <row r="8" spans="1:10">
      <c r="A8" s="11" t="s">
        <v>14</v>
      </c>
      <c r="B8" s="11" t="s">
        <v>208</v>
      </c>
      <c r="C8" s="11">
        <v>22000</v>
      </c>
      <c r="D8" s="11"/>
    </row>
  </sheetData>
  <mergeCells count="1">
    <mergeCell ref="G2:J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27B57-E6FA-4915-8ACC-42FF8DB6E3A0}">
  <dimension ref="A1:I17"/>
  <sheetViews>
    <sheetView workbookViewId="0">
      <selection activeCell="H11" sqref="H11"/>
    </sheetView>
  </sheetViews>
  <sheetFormatPr defaultRowHeight="15"/>
  <cols>
    <col min="6" max="6" width="12.28515625" bestFit="1" customWidth="1"/>
    <col min="9" max="9" width="56.85546875" customWidth="1"/>
  </cols>
  <sheetData>
    <row r="1" spans="1:9">
      <c r="A1" s="71" t="s">
        <v>0</v>
      </c>
      <c r="B1" s="71" t="s">
        <v>175</v>
      </c>
      <c r="C1" s="71" t="s">
        <v>201</v>
      </c>
      <c r="D1" s="71" t="s">
        <v>209</v>
      </c>
      <c r="E1" s="71" t="s">
        <v>210</v>
      </c>
      <c r="F1" s="71" t="s">
        <v>211</v>
      </c>
      <c r="I1" s="70" t="s">
        <v>219</v>
      </c>
    </row>
    <row r="2" spans="1:9">
      <c r="A2" s="11">
        <v>1</v>
      </c>
      <c r="B2" s="11" t="s">
        <v>9</v>
      </c>
      <c r="C2" s="11" t="s">
        <v>212</v>
      </c>
      <c r="D2" s="11">
        <v>499</v>
      </c>
      <c r="E2" s="11">
        <f>IF(D2&gt;=1000,10,IF(D2&gt;=500,15,20))</f>
        <v>20</v>
      </c>
      <c r="F2" s="11">
        <f>D2*E2</f>
        <v>9980</v>
      </c>
      <c r="I2" s="79" t="s">
        <v>220</v>
      </c>
    </row>
    <row r="3" spans="1:9">
      <c r="A3" s="11">
        <v>2</v>
      </c>
      <c r="B3" s="11" t="s">
        <v>12</v>
      </c>
      <c r="C3" s="11" t="s">
        <v>212</v>
      </c>
      <c r="D3" s="11">
        <v>1200</v>
      </c>
      <c r="E3" s="11"/>
      <c r="F3" s="11"/>
      <c r="I3" s="79"/>
    </row>
    <row r="4" spans="1:9">
      <c r="A4" s="11">
        <v>3</v>
      </c>
      <c r="B4" s="11" t="s">
        <v>33</v>
      </c>
      <c r="C4" s="11" t="s">
        <v>212</v>
      </c>
      <c r="D4" s="11">
        <v>1200</v>
      </c>
      <c r="E4" s="11"/>
      <c r="F4" s="11"/>
      <c r="I4" s="79"/>
    </row>
    <row r="5" spans="1:9">
      <c r="A5" s="11">
        <v>4</v>
      </c>
      <c r="B5" s="11" t="s">
        <v>188</v>
      </c>
      <c r="C5" s="11" t="s">
        <v>212</v>
      </c>
      <c r="D5" s="11">
        <v>375</v>
      </c>
      <c r="E5" s="11"/>
      <c r="F5" s="11"/>
      <c r="I5" s="79"/>
    </row>
    <row r="6" spans="1:9">
      <c r="A6" s="11">
        <v>5</v>
      </c>
      <c r="B6" s="11" t="s">
        <v>32</v>
      </c>
      <c r="C6" s="11" t="s">
        <v>212</v>
      </c>
      <c r="D6" s="11">
        <v>482</v>
      </c>
      <c r="E6" s="11"/>
      <c r="F6" s="11"/>
      <c r="I6" t="s">
        <v>221</v>
      </c>
    </row>
    <row r="7" spans="1:9">
      <c r="A7" s="11">
        <v>6</v>
      </c>
      <c r="B7" s="11" t="s">
        <v>222</v>
      </c>
      <c r="C7" s="11" t="s">
        <v>212</v>
      </c>
      <c r="D7" s="11">
        <v>800</v>
      </c>
      <c r="E7" s="11"/>
      <c r="F7" s="11"/>
    </row>
    <row r="8" spans="1:9">
      <c r="A8" s="11">
        <v>7</v>
      </c>
      <c r="B8" s="11" t="s">
        <v>223</v>
      </c>
      <c r="C8" s="11" t="s">
        <v>212</v>
      </c>
      <c r="D8" s="11">
        <v>1100</v>
      </c>
      <c r="E8" s="11"/>
      <c r="F8" s="11"/>
    </row>
    <row r="9" spans="1:9">
      <c r="A9" s="11">
        <v>8</v>
      </c>
      <c r="B9" s="11" t="s">
        <v>28</v>
      </c>
      <c r="C9" s="11" t="s">
        <v>212</v>
      </c>
      <c r="D9" s="11">
        <v>390</v>
      </c>
      <c r="E9" s="11"/>
      <c r="F9" s="11"/>
      <c r="H9" t="s">
        <v>235</v>
      </c>
    </row>
    <row r="10" spans="1:9">
      <c r="A10" s="11">
        <v>9</v>
      </c>
      <c r="B10" s="11" t="s">
        <v>224</v>
      </c>
      <c r="C10" s="11" t="s">
        <v>212</v>
      </c>
      <c r="D10" s="11">
        <v>369</v>
      </c>
      <c r="E10" s="11"/>
      <c r="F10" s="11"/>
      <c r="H10" t="s">
        <v>236</v>
      </c>
    </row>
    <row r="11" spans="1:9">
      <c r="A11" s="11">
        <v>10</v>
      </c>
      <c r="B11" s="11" t="s">
        <v>189</v>
      </c>
      <c r="C11" s="11" t="s">
        <v>212</v>
      </c>
      <c r="D11" s="11">
        <v>675</v>
      </c>
      <c r="E11" s="11"/>
      <c r="F11" s="11"/>
    </row>
    <row r="12" spans="1:9">
      <c r="A12" s="11">
        <v>11</v>
      </c>
      <c r="B12" s="11" t="s">
        <v>19</v>
      </c>
      <c r="C12" s="11" t="s">
        <v>212</v>
      </c>
      <c r="D12" s="11">
        <v>768</v>
      </c>
      <c r="E12" s="11"/>
      <c r="F12" s="11"/>
    </row>
    <row r="13" spans="1:9">
      <c r="A13" s="11">
        <v>12</v>
      </c>
      <c r="B13" s="11" t="s">
        <v>225</v>
      </c>
      <c r="C13" s="11" t="s">
        <v>212</v>
      </c>
      <c r="D13" s="11">
        <v>414</v>
      </c>
      <c r="E13" s="11"/>
      <c r="F13" s="11"/>
    </row>
    <row r="14" spans="1:9">
      <c r="A14" s="11">
        <v>13</v>
      </c>
      <c r="B14" s="11" t="s">
        <v>226</v>
      </c>
      <c r="C14" s="11" t="s">
        <v>212</v>
      </c>
      <c r="D14" s="11">
        <v>381</v>
      </c>
      <c r="E14" s="11"/>
      <c r="F14" s="11"/>
    </row>
    <row r="15" spans="1:9">
      <c r="A15" s="11">
        <v>14</v>
      </c>
      <c r="B15" s="11" t="s">
        <v>227</v>
      </c>
      <c r="C15" s="11" t="s">
        <v>212</v>
      </c>
      <c r="D15" s="11">
        <v>328</v>
      </c>
      <c r="E15" s="11"/>
      <c r="F15" s="11"/>
    </row>
    <row r="16" spans="1:9">
      <c r="A16" s="11">
        <v>15</v>
      </c>
      <c r="B16" s="11" t="s">
        <v>14</v>
      </c>
      <c r="C16" s="11" t="s">
        <v>212</v>
      </c>
      <c r="D16" s="11">
        <v>487</v>
      </c>
      <c r="E16" s="11"/>
      <c r="F16" s="11"/>
    </row>
    <row r="17" spans="1:6">
      <c r="A17" s="11">
        <v>16</v>
      </c>
      <c r="B17" s="11" t="s">
        <v>187</v>
      </c>
      <c r="C17" s="11" t="s">
        <v>212</v>
      </c>
      <c r="D17" s="11">
        <v>736</v>
      </c>
      <c r="E17" s="11"/>
      <c r="F17" s="11"/>
    </row>
  </sheetData>
  <mergeCells count="1">
    <mergeCell ref="I2:I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2BB47-3405-430A-9B98-0FA26E0D6166}">
  <dimension ref="A1:N32"/>
  <sheetViews>
    <sheetView workbookViewId="0">
      <selection activeCell="K3" sqref="K3"/>
    </sheetView>
  </sheetViews>
  <sheetFormatPr defaultRowHeight="15"/>
  <cols>
    <col min="1" max="1" width="5.42578125" customWidth="1"/>
    <col min="2" max="2" width="10.140625" bestFit="1" customWidth="1"/>
    <col min="6" max="6" width="13.140625" bestFit="1" customWidth="1"/>
    <col min="9" max="9" width="13.7109375" bestFit="1" customWidth="1"/>
  </cols>
  <sheetData>
    <row r="1" spans="1:14">
      <c r="A1" s="71" t="s">
        <v>0</v>
      </c>
      <c r="B1" s="71" t="s">
        <v>175</v>
      </c>
      <c r="C1" s="71" t="s">
        <v>201</v>
      </c>
      <c r="D1" s="71" t="s">
        <v>209</v>
      </c>
      <c r="E1" s="71" t="s">
        <v>210</v>
      </c>
      <c r="F1" s="71" t="s">
        <v>211</v>
      </c>
      <c r="I1" s="72"/>
      <c r="J1" s="71" t="s">
        <v>212</v>
      </c>
      <c r="K1" s="71" t="s">
        <v>213</v>
      </c>
      <c r="L1" s="71" t="s">
        <v>214</v>
      </c>
      <c r="M1" s="71" t="s">
        <v>215</v>
      </c>
      <c r="N1" s="71" t="s">
        <v>216</v>
      </c>
    </row>
    <row r="2" spans="1:14">
      <c r="A2" s="11">
        <v>1</v>
      </c>
      <c r="B2" s="11" t="s">
        <v>9</v>
      </c>
      <c r="C2" s="11" t="s">
        <v>212</v>
      </c>
      <c r="D2" s="7">
        <v>183</v>
      </c>
      <c r="E2" s="7">
        <v>12</v>
      </c>
      <c r="F2" s="11"/>
      <c r="I2" s="11" t="s">
        <v>217</v>
      </c>
      <c r="J2" s="11">
        <f>SUMIF(C1:C32,J1,D1:D32)</f>
        <v>930</v>
      </c>
      <c r="K2" s="11">
        <f ca="1">SUMIF(A1:F32,K1,D1:D32)</f>
        <v>0</v>
      </c>
      <c r="L2" s="11"/>
      <c r="M2" s="11"/>
      <c r="N2" s="11"/>
    </row>
    <row r="3" spans="1:14">
      <c r="A3" s="11">
        <v>2</v>
      </c>
      <c r="B3" s="11" t="s">
        <v>12</v>
      </c>
      <c r="C3" s="11" t="s">
        <v>213</v>
      </c>
      <c r="D3" s="7">
        <v>196</v>
      </c>
      <c r="E3" s="7">
        <v>5</v>
      </c>
      <c r="F3" s="11"/>
      <c r="I3" s="11" t="s">
        <v>218</v>
      </c>
      <c r="J3" s="11"/>
      <c r="K3" s="11"/>
      <c r="L3" s="11"/>
      <c r="M3" s="11"/>
      <c r="N3" s="11"/>
    </row>
    <row r="4" spans="1:14">
      <c r="A4" s="11">
        <v>3</v>
      </c>
      <c r="B4" s="11" t="s">
        <v>33</v>
      </c>
      <c r="C4" s="11" t="s">
        <v>214</v>
      </c>
      <c r="D4" s="7">
        <v>112</v>
      </c>
      <c r="E4" s="7">
        <v>11</v>
      </c>
      <c r="F4" s="11"/>
    </row>
    <row r="5" spans="1:14">
      <c r="A5" s="11">
        <v>4</v>
      </c>
      <c r="B5" s="11" t="s">
        <v>188</v>
      </c>
      <c r="C5" s="11" t="s">
        <v>215</v>
      </c>
      <c r="D5" s="7">
        <v>155</v>
      </c>
      <c r="E5" s="7">
        <v>10</v>
      </c>
      <c r="F5" s="11"/>
    </row>
    <row r="6" spans="1:14">
      <c r="A6" s="11">
        <v>5</v>
      </c>
      <c r="B6" s="11" t="s">
        <v>32</v>
      </c>
      <c r="C6" s="11" t="s">
        <v>216</v>
      </c>
      <c r="D6" s="7">
        <v>155</v>
      </c>
      <c r="E6" s="7">
        <v>9</v>
      </c>
      <c r="F6" s="11"/>
    </row>
    <row r="7" spans="1:14">
      <c r="A7" s="11">
        <v>6</v>
      </c>
      <c r="B7" s="11" t="s">
        <v>9</v>
      </c>
      <c r="C7" s="11" t="s">
        <v>212</v>
      </c>
      <c r="D7" s="7">
        <v>163</v>
      </c>
      <c r="E7" s="7">
        <v>7</v>
      </c>
      <c r="F7" s="11"/>
      <c r="K7" t="s">
        <v>234</v>
      </c>
    </row>
    <row r="8" spans="1:14">
      <c r="A8" s="11">
        <v>7</v>
      </c>
      <c r="B8" s="11" t="s">
        <v>12</v>
      </c>
      <c r="C8" s="11" t="s">
        <v>213</v>
      </c>
      <c r="D8" s="7">
        <v>189</v>
      </c>
      <c r="E8" s="7">
        <v>14</v>
      </c>
      <c r="F8" s="11"/>
    </row>
    <row r="9" spans="1:14">
      <c r="A9" s="11">
        <v>8</v>
      </c>
      <c r="B9" s="11" t="s">
        <v>33</v>
      </c>
      <c r="C9" s="11" t="s">
        <v>214</v>
      </c>
      <c r="D9" s="7">
        <v>167</v>
      </c>
      <c r="E9" s="7">
        <v>6</v>
      </c>
      <c r="F9" s="11"/>
    </row>
    <row r="10" spans="1:14">
      <c r="A10" s="11">
        <v>9</v>
      </c>
      <c r="B10" s="11" t="s">
        <v>9</v>
      </c>
      <c r="C10" s="11" t="s">
        <v>215</v>
      </c>
      <c r="D10" s="7">
        <v>193</v>
      </c>
      <c r="E10" s="7">
        <v>10</v>
      </c>
      <c r="F10" s="11"/>
    </row>
    <row r="11" spans="1:14">
      <c r="A11" s="11">
        <v>10</v>
      </c>
      <c r="B11" s="11" t="s">
        <v>19</v>
      </c>
      <c r="C11" s="11" t="s">
        <v>216</v>
      </c>
      <c r="D11" s="7">
        <v>152</v>
      </c>
      <c r="E11" s="7">
        <v>8</v>
      </c>
      <c r="F11" s="11"/>
    </row>
    <row r="12" spans="1:14">
      <c r="A12" s="11">
        <v>11</v>
      </c>
      <c r="B12" s="11" t="s">
        <v>27</v>
      </c>
      <c r="C12" s="11" t="s">
        <v>212</v>
      </c>
      <c r="D12" s="7">
        <v>151</v>
      </c>
      <c r="E12" s="7">
        <v>6</v>
      </c>
      <c r="F12" s="11"/>
    </row>
    <row r="13" spans="1:14">
      <c r="A13" s="11">
        <v>12</v>
      </c>
      <c r="B13" s="11" t="s">
        <v>195</v>
      </c>
      <c r="C13" s="11" t="s">
        <v>213</v>
      </c>
      <c r="D13" s="7">
        <v>164</v>
      </c>
      <c r="E13" s="7">
        <v>6</v>
      </c>
      <c r="F13" s="11"/>
    </row>
    <row r="14" spans="1:14">
      <c r="A14" s="11">
        <v>13</v>
      </c>
      <c r="B14" s="11" t="s">
        <v>9</v>
      </c>
      <c r="C14" s="11" t="s">
        <v>214</v>
      </c>
      <c r="D14" s="7">
        <v>147</v>
      </c>
      <c r="E14" s="7">
        <v>15</v>
      </c>
      <c r="F14" s="11"/>
    </row>
    <row r="15" spans="1:14">
      <c r="A15" s="11">
        <v>14</v>
      </c>
      <c r="B15" s="11" t="s">
        <v>12</v>
      </c>
      <c r="C15" s="11" t="s">
        <v>215</v>
      </c>
      <c r="D15" s="7">
        <v>115</v>
      </c>
      <c r="E15" s="7">
        <v>6</v>
      </c>
      <c r="F15" s="11"/>
    </row>
    <row r="16" spans="1:14">
      <c r="A16" s="11">
        <v>15</v>
      </c>
      <c r="B16" s="11" t="s">
        <v>33</v>
      </c>
      <c r="C16" s="11" t="s">
        <v>216</v>
      </c>
      <c r="D16" s="7">
        <v>160</v>
      </c>
      <c r="E16" s="7">
        <v>14</v>
      </c>
      <c r="F16" s="11"/>
    </row>
    <row r="17" spans="1:6">
      <c r="A17" s="11">
        <v>16</v>
      </c>
      <c r="B17" s="11" t="s">
        <v>187</v>
      </c>
      <c r="C17" s="11" t="s">
        <v>212</v>
      </c>
      <c r="D17" s="7">
        <v>172</v>
      </c>
      <c r="E17" s="7">
        <v>7</v>
      </c>
      <c r="F17" s="11"/>
    </row>
    <row r="18" spans="1:6">
      <c r="A18" s="11">
        <v>17</v>
      </c>
      <c r="B18" s="11" t="s">
        <v>13</v>
      </c>
      <c r="C18" s="11" t="s">
        <v>213</v>
      </c>
      <c r="D18" s="7">
        <v>166</v>
      </c>
      <c r="E18" s="7">
        <v>9</v>
      </c>
      <c r="F18" s="11"/>
    </row>
    <row r="19" spans="1:6">
      <c r="A19" s="11">
        <v>18</v>
      </c>
      <c r="B19" s="11" t="s">
        <v>189</v>
      </c>
      <c r="C19" s="11" t="s">
        <v>214</v>
      </c>
      <c r="D19" s="7">
        <v>109</v>
      </c>
      <c r="E19" s="7">
        <v>6</v>
      </c>
      <c r="F19" s="11"/>
    </row>
    <row r="20" spans="1:6">
      <c r="A20" s="11">
        <v>19</v>
      </c>
      <c r="B20" s="11" t="s">
        <v>14</v>
      </c>
      <c r="C20" s="11" t="s">
        <v>215</v>
      </c>
      <c r="D20" s="7">
        <v>172</v>
      </c>
      <c r="E20" s="7">
        <v>12</v>
      </c>
      <c r="F20" s="11"/>
    </row>
    <row r="21" spans="1:6">
      <c r="A21" s="11">
        <v>20</v>
      </c>
      <c r="B21" s="11" t="s">
        <v>190</v>
      </c>
      <c r="C21" s="11" t="s">
        <v>216</v>
      </c>
      <c r="D21" s="7">
        <v>185</v>
      </c>
      <c r="E21" s="7">
        <v>10</v>
      </c>
      <c r="F21" s="11"/>
    </row>
    <row r="22" spans="1:6">
      <c r="A22" s="11">
        <v>21</v>
      </c>
      <c r="B22" s="11" t="s">
        <v>33</v>
      </c>
      <c r="C22" s="11" t="s">
        <v>212</v>
      </c>
      <c r="D22" s="7">
        <v>137</v>
      </c>
      <c r="E22" s="7">
        <v>14</v>
      </c>
      <c r="F22" s="11"/>
    </row>
    <row r="23" spans="1:6">
      <c r="A23" s="11">
        <v>22</v>
      </c>
      <c r="B23" s="11" t="s">
        <v>192</v>
      </c>
      <c r="C23" s="11" t="s">
        <v>213</v>
      </c>
      <c r="D23" s="7">
        <v>178</v>
      </c>
      <c r="E23" s="7">
        <v>11</v>
      </c>
      <c r="F23" s="11"/>
    </row>
    <row r="24" spans="1:6">
      <c r="A24" s="11">
        <v>23</v>
      </c>
      <c r="B24" s="11" t="s">
        <v>9</v>
      </c>
      <c r="C24" s="11" t="s">
        <v>214</v>
      </c>
      <c r="D24" s="7">
        <v>124</v>
      </c>
      <c r="E24" s="7">
        <v>13</v>
      </c>
      <c r="F24" s="11"/>
    </row>
    <row r="25" spans="1:6">
      <c r="A25" s="11">
        <v>24</v>
      </c>
      <c r="B25" s="11" t="s">
        <v>12</v>
      </c>
      <c r="C25" s="11" t="s">
        <v>215</v>
      </c>
      <c r="D25" s="7">
        <v>177</v>
      </c>
      <c r="E25" s="7">
        <v>6</v>
      </c>
      <c r="F25" s="11"/>
    </row>
    <row r="26" spans="1:6">
      <c r="A26" s="11">
        <v>25</v>
      </c>
      <c r="B26" s="11" t="s">
        <v>33</v>
      </c>
      <c r="C26" s="11" t="s">
        <v>216</v>
      </c>
      <c r="D26" s="7">
        <v>168</v>
      </c>
      <c r="E26" s="7">
        <v>15</v>
      </c>
      <c r="F26" s="11"/>
    </row>
    <row r="27" spans="1:6">
      <c r="A27" s="11">
        <v>26</v>
      </c>
      <c r="B27" s="11" t="s">
        <v>188</v>
      </c>
      <c r="C27" s="11" t="s">
        <v>212</v>
      </c>
      <c r="D27" s="7">
        <v>124</v>
      </c>
      <c r="E27" s="7">
        <v>14</v>
      </c>
      <c r="F27" s="11"/>
    </row>
    <row r="28" spans="1:6">
      <c r="A28" s="11">
        <v>27</v>
      </c>
      <c r="B28" s="11" t="s">
        <v>32</v>
      </c>
      <c r="C28" s="11" t="s">
        <v>213</v>
      </c>
      <c r="D28" s="7">
        <v>193</v>
      </c>
      <c r="E28" s="7">
        <v>12</v>
      </c>
      <c r="F28" s="11"/>
    </row>
    <row r="29" spans="1:6">
      <c r="A29" s="11">
        <v>28</v>
      </c>
      <c r="B29" s="11" t="s">
        <v>25</v>
      </c>
      <c r="C29" s="11" t="s">
        <v>214</v>
      </c>
      <c r="D29" s="7">
        <v>116</v>
      </c>
      <c r="E29" s="7">
        <v>7</v>
      </c>
      <c r="F29" s="11"/>
    </row>
    <row r="30" spans="1:6">
      <c r="A30" s="11">
        <v>29</v>
      </c>
      <c r="B30" s="11" t="s">
        <v>14</v>
      </c>
      <c r="C30" s="11" t="s">
        <v>215</v>
      </c>
      <c r="D30" s="7">
        <v>108</v>
      </c>
      <c r="E30" s="7">
        <v>15</v>
      </c>
      <c r="F30" s="11"/>
    </row>
    <row r="31" spans="1:6">
      <c r="A31" s="11">
        <v>30</v>
      </c>
      <c r="B31" s="11" t="s">
        <v>191</v>
      </c>
      <c r="C31" s="11" t="s">
        <v>216</v>
      </c>
      <c r="D31" s="7">
        <v>167</v>
      </c>
      <c r="E31" s="7">
        <v>9</v>
      </c>
      <c r="F31" s="11"/>
    </row>
    <row r="32" spans="1:6">
      <c r="A32" s="11">
        <v>31</v>
      </c>
      <c r="B32" s="11" t="s">
        <v>190</v>
      </c>
      <c r="C32" s="11" t="s">
        <v>215</v>
      </c>
      <c r="D32" s="7">
        <v>196</v>
      </c>
      <c r="E32" s="7">
        <v>5</v>
      </c>
      <c r="F32" s="1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53EDE-8733-4C1D-8C18-9FC747E8D40D}">
  <dimension ref="A1:M22"/>
  <sheetViews>
    <sheetView topLeftCell="A3" workbookViewId="0">
      <selection activeCell="A3" sqref="A3:I17"/>
    </sheetView>
  </sheetViews>
  <sheetFormatPr defaultRowHeight="15"/>
  <cols>
    <col min="1" max="1" width="18.140625" bestFit="1" customWidth="1"/>
    <col min="2" max="5" width="12.5703125" customWidth="1"/>
    <col min="6" max="6" width="18.28515625" customWidth="1"/>
    <col min="7" max="10" width="12.5703125" customWidth="1"/>
  </cols>
  <sheetData>
    <row r="1" spans="1:13" ht="27">
      <c r="A1" s="82" t="str">
        <f>UPPER("Salary Sheets")</f>
        <v>SALARY SHEETS</v>
      </c>
      <c r="B1" s="82"/>
      <c r="C1" s="82"/>
      <c r="D1" s="82"/>
      <c r="E1" s="82"/>
      <c r="F1" s="82"/>
      <c r="G1" s="82"/>
      <c r="H1" s="82"/>
      <c r="I1" s="82"/>
      <c r="J1" s="82"/>
    </row>
    <row r="2" spans="1:13" ht="33.75">
      <c r="A2" s="83" t="s">
        <v>34</v>
      </c>
      <c r="B2" s="83"/>
      <c r="C2" s="83"/>
      <c r="D2" s="83"/>
      <c r="E2" s="83"/>
      <c r="F2" s="83"/>
      <c r="G2" s="83"/>
      <c r="H2" s="83"/>
      <c r="I2" s="83"/>
      <c r="J2" s="83"/>
    </row>
    <row r="3" spans="1:13">
      <c r="A3" t="s">
        <v>35</v>
      </c>
      <c r="C3" t="s">
        <v>36</v>
      </c>
      <c r="J3" s="28">
        <v>1025</v>
      </c>
    </row>
    <row r="4" spans="1:13" ht="15" customHeight="1">
      <c r="A4" s="84" t="s">
        <v>37</v>
      </c>
      <c r="B4" s="85" t="s">
        <v>38</v>
      </c>
      <c r="C4" s="84" t="s">
        <v>39</v>
      </c>
      <c r="D4" s="86" t="s">
        <v>40</v>
      </c>
      <c r="E4" s="86"/>
      <c r="F4" s="86"/>
      <c r="G4" s="86"/>
      <c r="H4" s="87" t="s">
        <v>41</v>
      </c>
      <c r="I4" s="87"/>
      <c r="J4" s="88" t="s">
        <v>42</v>
      </c>
      <c r="L4" t="s">
        <v>43</v>
      </c>
    </row>
    <row r="5" spans="1:13" ht="15" customHeight="1">
      <c r="A5" s="84"/>
      <c r="B5" s="85"/>
      <c r="C5" s="84"/>
      <c r="D5" s="89" t="s">
        <v>44</v>
      </c>
      <c r="E5" s="89"/>
      <c r="F5" s="89"/>
      <c r="G5" s="90" t="s">
        <v>45</v>
      </c>
      <c r="H5" s="80" t="s">
        <v>46</v>
      </c>
      <c r="I5" s="81" t="s">
        <v>47</v>
      </c>
      <c r="J5" s="88"/>
      <c r="L5" t="s">
        <v>48</v>
      </c>
      <c r="M5" t="s">
        <v>49</v>
      </c>
    </row>
    <row r="6" spans="1:13" ht="36" customHeight="1">
      <c r="A6" s="84"/>
      <c r="B6" s="85"/>
      <c r="C6" s="84"/>
      <c r="D6" s="9" t="s">
        <v>48</v>
      </c>
      <c r="E6" s="10" t="s">
        <v>50</v>
      </c>
      <c r="F6" s="10" t="s">
        <v>51</v>
      </c>
      <c r="G6" s="90"/>
      <c r="H6" s="80"/>
      <c r="I6" s="81"/>
      <c r="J6" s="88"/>
      <c r="L6" t="s">
        <v>52</v>
      </c>
      <c r="M6" t="s">
        <v>53</v>
      </c>
    </row>
    <row r="7" spans="1:13">
      <c r="A7" s="11" t="s">
        <v>54</v>
      </c>
      <c r="B7" s="11">
        <v>1011</v>
      </c>
      <c r="C7" s="12">
        <v>50000</v>
      </c>
      <c r="D7" s="13"/>
      <c r="E7" s="13"/>
      <c r="F7" s="13"/>
      <c r="G7" s="13"/>
      <c r="H7" s="13"/>
      <c r="I7" s="13"/>
      <c r="J7" s="13">
        <f>G7-H7-I7</f>
        <v>0</v>
      </c>
      <c r="L7" t="s">
        <v>51</v>
      </c>
      <c r="M7" t="s">
        <v>55</v>
      </c>
    </row>
    <row r="8" spans="1:13">
      <c r="A8" s="11" t="s">
        <v>56</v>
      </c>
      <c r="B8" s="11">
        <v>1012</v>
      </c>
      <c r="C8" s="12">
        <v>75000</v>
      </c>
      <c r="D8" s="13"/>
      <c r="E8" s="13"/>
      <c r="F8" s="13"/>
      <c r="G8" s="13"/>
      <c r="H8" s="13"/>
      <c r="I8" s="13"/>
      <c r="J8" s="13">
        <f t="shared" ref="J8:J21" si="0">G8-H8-I8</f>
        <v>0</v>
      </c>
      <c r="L8" t="s">
        <v>45</v>
      </c>
    </row>
    <row r="9" spans="1:13">
      <c r="A9" s="11" t="s">
        <v>57</v>
      </c>
      <c r="B9" s="11">
        <v>1013</v>
      </c>
      <c r="C9" s="12">
        <v>40000</v>
      </c>
      <c r="D9" s="13"/>
      <c r="E9" s="13"/>
      <c r="F9" s="13"/>
      <c r="G9" s="13"/>
      <c r="H9" s="13"/>
      <c r="I9" s="13"/>
      <c r="J9" s="13">
        <f t="shared" si="0"/>
        <v>0</v>
      </c>
      <c r="L9" t="s">
        <v>46</v>
      </c>
      <c r="M9" t="s">
        <v>58</v>
      </c>
    </row>
    <row r="10" spans="1:13">
      <c r="A10" s="11" t="s">
        <v>59</v>
      </c>
      <c r="B10" s="11">
        <v>1014</v>
      </c>
      <c r="C10" s="12">
        <v>45000</v>
      </c>
      <c r="D10" s="13"/>
      <c r="E10" s="13"/>
      <c r="F10" s="13"/>
      <c r="G10" s="13"/>
      <c r="H10" s="13"/>
      <c r="I10" s="13"/>
      <c r="J10" s="13">
        <f t="shared" si="0"/>
        <v>0</v>
      </c>
      <c r="L10" t="s">
        <v>60</v>
      </c>
      <c r="M10" t="s">
        <v>61</v>
      </c>
    </row>
    <row r="11" spans="1:13">
      <c r="A11" s="11" t="s">
        <v>62</v>
      </c>
      <c r="B11" s="11">
        <v>1015</v>
      </c>
      <c r="C11" s="12">
        <v>85000</v>
      </c>
      <c r="D11" s="13"/>
      <c r="E11" s="13"/>
      <c r="F11" s="13"/>
      <c r="G11" s="13"/>
      <c r="H11" s="13"/>
      <c r="I11" s="13"/>
      <c r="J11" s="13">
        <f t="shared" si="0"/>
        <v>0</v>
      </c>
      <c r="L11" t="s">
        <v>42</v>
      </c>
    </row>
    <row r="12" spans="1:13">
      <c r="A12" s="11" t="s">
        <v>63</v>
      </c>
      <c r="B12" s="11">
        <v>1016</v>
      </c>
      <c r="C12" s="12">
        <v>100000</v>
      </c>
      <c r="D12" s="13"/>
      <c r="E12" s="13"/>
      <c r="F12" s="13"/>
      <c r="G12" s="13"/>
      <c r="H12" s="13"/>
      <c r="I12" s="13"/>
      <c r="J12" s="13">
        <f t="shared" si="0"/>
        <v>0</v>
      </c>
    </row>
    <row r="13" spans="1:13">
      <c r="A13" s="11" t="s">
        <v>64</v>
      </c>
      <c r="B13" s="11">
        <v>1017</v>
      </c>
      <c r="C13" s="12">
        <v>25000</v>
      </c>
      <c r="D13" s="13"/>
      <c r="E13" s="13"/>
      <c r="F13" s="13"/>
      <c r="G13" s="13"/>
      <c r="H13" s="13"/>
      <c r="I13" s="13"/>
      <c r="J13" s="13">
        <f t="shared" si="0"/>
        <v>0</v>
      </c>
    </row>
    <row r="14" spans="1:13">
      <c r="A14" s="11" t="s">
        <v>65</v>
      </c>
      <c r="B14" s="11">
        <v>1018</v>
      </c>
      <c r="C14" s="12">
        <v>65000</v>
      </c>
      <c r="D14" s="13"/>
      <c r="E14" s="13"/>
      <c r="F14" s="13"/>
      <c r="G14" s="13"/>
      <c r="H14" s="13"/>
      <c r="I14" s="13"/>
      <c r="J14" s="13">
        <f t="shared" si="0"/>
        <v>0</v>
      </c>
    </row>
    <row r="15" spans="1:13">
      <c r="A15" s="11" t="s">
        <v>66</v>
      </c>
      <c r="B15" s="11">
        <v>1019</v>
      </c>
      <c r="C15" s="12">
        <v>90000</v>
      </c>
      <c r="D15" s="13"/>
      <c r="E15" s="13"/>
      <c r="F15" s="13"/>
      <c r="G15" s="13"/>
      <c r="H15" s="13"/>
      <c r="I15" s="13"/>
      <c r="J15" s="13">
        <f t="shared" si="0"/>
        <v>0</v>
      </c>
    </row>
    <row r="16" spans="1:13">
      <c r="A16" s="11" t="s">
        <v>67</v>
      </c>
      <c r="B16" s="11">
        <v>1020</v>
      </c>
      <c r="C16" s="12">
        <v>35000</v>
      </c>
      <c r="D16" s="13"/>
      <c r="E16" s="13"/>
      <c r="F16" s="13"/>
      <c r="G16" s="13"/>
      <c r="H16" s="13"/>
      <c r="I16" s="13"/>
      <c r="J16" s="13">
        <f t="shared" si="0"/>
        <v>0</v>
      </c>
    </row>
    <row r="17" spans="1:10">
      <c r="A17" s="11" t="s">
        <v>68</v>
      </c>
      <c r="B17" s="11">
        <v>1021</v>
      </c>
      <c r="C17" s="12">
        <v>30000</v>
      </c>
      <c r="D17" s="13"/>
      <c r="E17" s="13"/>
      <c r="F17" s="13"/>
      <c r="G17" s="13"/>
      <c r="H17" s="13"/>
      <c r="I17" s="13"/>
      <c r="J17" s="13">
        <f t="shared" si="0"/>
        <v>0</v>
      </c>
    </row>
    <row r="18" spans="1:10">
      <c r="A18" s="11" t="s">
        <v>69</v>
      </c>
      <c r="B18" s="11">
        <v>1022</v>
      </c>
      <c r="C18" s="12">
        <v>65000</v>
      </c>
      <c r="D18" s="13"/>
      <c r="E18" s="13"/>
      <c r="F18" s="13"/>
      <c r="G18" s="13"/>
      <c r="H18" s="13"/>
      <c r="I18" s="13"/>
      <c r="J18" s="13">
        <f t="shared" si="0"/>
        <v>0</v>
      </c>
    </row>
    <row r="19" spans="1:10">
      <c r="A19" s="11" t="s">
        <v>70</v>
      </c>
      <c r="B19" s="11">
        <v>1023</v>
      </c>
      <c r="C19" s="12">
        <v>90000</v>
      </c>
      <c r="D19" s="13"/>
      <c r="E19" s="13"/>
      <c r="F19" s="13"/>
      <c r="G19" s="13"/>
      <c r="H19" s="13"/>
      <c r="I19" s="13"/>
      <c r="J19" s="13">
        <f t="shared" si="0"/>
        <v>0</v>
      </c>
    </row>
    <row r="20" spans="1:10">
      <c r="A20" s="11" t="s">
        <v>71</v>
      </c>
      <c r="B20" s="11">
        <v>1024</v>
      </c>
      <c r="C20" s="12">
        <v>35000</v>
      </c>
      <c r="D20" s="13"/>
      <c r="E20" s="13"/>
      <c r="F20" s="13"/>
      <c r="G20" s="13"/>
      <c r="H20" s="13"/>
      <c r="I20" s="13"/>
      <c r="J20" s="13">
        <f t="shared" si="0"/>
        <v>0</v>
      </c>
    </row>
    <row r="21" spans="1:10">
      <c r="A21" s="11" t="s">
        <v>72</v>
      </c>
      <c r="B21" s="11">
        <v>1025</v>
      </c>
      <c r="C21" s="29">
        <v>30000</v>
      </c>
      <c r="D21" s="13"/>
      <c r="E21" s="13"/>
      <c r="F21" s="13"/>
      <c r="G21" s="13"/>
      <c r="H21" s="13"/>
      <c r="I21" s="13"/>
      <c r="J21" s="13">
        <f t="shared" si="0"/>
        <v>0</v>
      </c>
    </row>
    <row r="22" spans="1:10">
      <c r="C22" s="14"/>
    </row>
  </sheetData>
  <mergeCells count="12">
    <mergeCell ref="H5:H6"/>
    <mergeCell ref="I5:I6"/>
    <mergeCell ref="A1:J1"/>
    <mergeCell ref="A2:J2"/>
    <mergeCell ref="A4:A6"/>
    <mergeCell ref="B4:B6"/>
    <mergeCell ref="C4:C6"/>
    <mergeCell ref="D4:G4"/>
    <mergeCell ref="H4:I4"/>
    <mergeCell ref="J4:J6"/>
    <mergeCell ref="D5:F5"/>
    <mergeCell ref="G5:G6"/>
  </mergeCells>
  <conditionalFormatting sqref="A7:J21">
    <cfRule type="expression" dxfId="17" priority="1">
      <formula>$J$3=$B7</formula>
    </cfRule>
  </conditionalFormatting>
  <conditionalFormatting sqref="J3">
    <cfRule type="expression" dxfId="16" priority="4">
      <formula>$J$3=$B4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1D045-BC85-4E22-872F-FE994F96A074}">
  <dimension ref="A1:D20"/>
  <sheetViews>
    <sheetView workbookViewId="0">
      <selection activeCell="C15" sqref="C15"/>
    </sheetView>
  </sheetViews>
  <sheetFormatPr defaultRowHeight="15"/>
  <cols>
    <col min="1" max="1" width="25.7109375" customWidth="1"/>
    <col min="2" max="2" width="11.7109375" customWidth="1"/>
    <col min="3" max="3" width="25.7109375" customWidth="1"/>
    <col min="4" max="4" width="11.7109375" customWidth="1"/>
  </cols>
  <sheetData>
    <row r="1" spans="1:4" ht="33.75">
      <c r="A1" s="91" t="s">
        <v>34</v>
      </c>
      <c r="B1" s="91"/>
      <c r="C1" s="91"/>
      <c r="D1" s="91"/>
    </row>
    <row r="2" spans="1:4" ht="33.75">
      <c r="A2" s="92" t="s">
        <v>73</v>
      </c>
      <c r="B2" s="92"/>
      <c r="C2" s="92"/>
      <c r="D2" s="92"/>
    </row>
    <row r="4" spans="1:4">
      <c r="A4" t="s">
        <v>74</v>
      </c>
      <c r="C4" t="s">
        <v>75</v>
      </c>
    </row>
    <row r="5" spans="1:4">
      <c r="A5" t="s">
        <v>76</v>
      </c>
    </row>
    <row r="6" spans="1:4" ht="15.75" thickBot="1"/>
    <row r="7" spans="1:4">
      <c r="A7" s="93" t="s">
        <v>77</v>
      </c>
      <c r="B7" s="94"/>
      <c r="C7" s="94" t="s">
        <v>78</v>
      </c>
      <c r="D7" s="95"/>
    </row>
    <row r="8" spans="1:4" ht="15.75" thickBot="1">
      <c r="A8" s="15" t="s">
        <v>79</v>
      </c>
      <c r="B8" s="16" t="s">
        <v>80</v>
      </c>
      <c r="C8" s="16" t="s">
        <v>79</v>
      </c>
      <c r="D8" s="17" t="s">
        <v>80</v>
      </c>
    </row>
    <row r="9" spans="1:4">
      <c r="A9" s="18" t="s">
        <v>39</v>
      </c>
      <c r="B9" s="18"/>
      <c r="C9" s="18" t="s">
        <v>46</v>
      </c>
      <c r="D9" s="18"/>
    </row>
    <row r="10" spans="1:4">
      <c r="A10" s="11" t="s">
        <v>81</v>
      </c>
      <c r="B10" s="11"/>
      <c r="C10" s="11" t="s">
        <v>82</v>
      </c>
      <c r="D10" s="11"/>
    </row>
    <row r="11" spans="1:4">
      <c r="A11" s="11" t="s">
        <v>83</v>
      </c>
      <c r="B11" s="11"/>
      <c r="C11" s="11"/>
      <c r="D11" s="11"/>
    </row>
    <row r="12" spans="1:4">
      <c r="A12" s="11" t="s">
        <v>84</v>
      </c>
      <c r="B12" s="11"/>
      <c r="C12" s="11"/>
      <c r="D12" s="11"/>
    </row>
    <row r="13" spans="1:4">
      <c r="A13" s="11"/>
      <c r="B13" s="11"/>
      <c r="C13" s="11"/>
      <c r="D13" s="11"/>
    </row>
    <row r="14" spans="1:4" ht="15.75" thickBot="1">
      <c r="A14" s="19"/>
      <c r="B14" s="19"/>
      <c r="C14" s="19"/>
      <c r="D14" s="19"/>
    </row>
    <row r="15" spans="1:4" ht="15.75" thickBot="1">
      <c r="A15" s="20" t="s">
        <v>85</v>
      </c>
      <c r="B15" s="21"/>
      <c r="C15" s="21" t="s">
        <v>86</v>
      </c>
      <c r="D15" s="22"/>
    </row>
    <row r="16" spans="1:4">
      <c r="A16" s="18"/>
      <c r="B16" s="18"/>
      <c r="C16" s="23" t="s">
        <v>87</v>
      </c>
      <c r="D16" s="18"/>
    </row>
    <row r="20" spans="1:3">
      <c r="A20" s="24" t="s">
        <v>88</v>
      </c>
      <c r="C20" s="24" t="s">
        <v>89</v>
      </c>
    </row>
  </sheetData>
  <mergeCells count="4">
    <mergeCell ref="A1:D1"/>
    <mergeCell ref="A2:D2"/>
    <mergeCell ref="A7:B7"/>
    <mergeCell ref="C7:D7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E5ECA-973C-4872-A4D8-226C9FE35E8C}">
  <dimension ref="A1:AN33"/>
  <sheetViews>
    <sheetView topLeftCell="C1" zoomScale="90" zoomScaleNormal="90" workbookViewId="0">
      <selection activeCell="AJ5" sqref="AJ5"/>
    </sheetView>
  </sheetViews>
  <sheetFormatPr defaultRowHeight="15"/>
  <cols>
    <col min="1" max="1" width="5.7109375" bestFit="1" customWidth="1"/>
    <col min="2" max="2" width="11.42578125" customWidth="1"/>
    <col min="3" max="3" width="14.7109375" customWidth="1"/>
    <col min="4" max="4" width="5.42578125" bestFit="1" customWidth="1"/>
    <col min="5" max="5" width="4.42578125" style="8" customWidth="1"/>
    <col min="6" max="35" width="4.7109375" style="8" customWidth="1"/>
    <col min="36" max="36" width="4.140625" customWidth="1"/>
    <col min="37" max="39" width="3.7109375" bestFit="1" customWidth="1"/>
    <col min="40" max="40" width="4.28515625" customWidth="1"/>
  </cols>
  <sheetData>
    <row r="1" spans="1:40">
      <c r="G1" s="26" t="s">
        <v>94</v>
      </c>
      <c r="H1" s="26" t="s">
        <v>95</v>
      </c>
      <c r="I1" s="27" t="s">
        <v>96</v>
      </c>
      <c r="J1" s="26"/>
      <c r="K1" s="26"/>
      <c r="L1" s="26" t="s">
        <v>98</v>
      </c>
      <c r="M1" s="26" t="s">
        <v>95</v>
      </c>
      <c r="N1" s="26" t="s">
        <v>99</v>
      </c>
    </row>
    <row r="2" spans="1:40">
      <c r="B2" t="s">
        <v>90</v>
      </c>
      <c r="C2" s="25">
        <v>45444</v>
      </c>
      <c r="G2" s="26" t="s">
        <v>91</v>
      </c>
      <c r="H2" s="26" t="s">
        <v>95</v>
      </c>
      <c r="I2" s="27" t="s">
        <v>97</v>
      </c>
      <c r="J2" s="26"/>
      <c r="K2" s="26"/>
      <c r="L2" s="26" t="s">
        <v>10</v>
      </c>
      <c r="M2" s="26" t="s">
        <v>95</v>
      </c>
      <c r="N2" s="26" t="s">
        <v>100</v>
      </c>
    </row>
    <row r="4" spans="1:40" s="4" customFormat="1" ht="75" customHeight="1">
      <c r="A4" s="1" t="s">
        <v>0</v>
      </c>
      <c r="B4" s="1" t="s">
        <v>1</v>
      </c>
      <c r="C4" s="1" t="s">
        <v>2</v>
      </c>
      <c r="D4" s="1" t="s">
        <v>3</v>
      </c>
      <c r="E4" s="30">
        <f>C2</f>
        <v>45444</v>
      </c>
      <c r="F4" s="30">
        <f>E4+1</f>
        <v>45445</v>
      </c>
      <c r="G4" s="30">
        <f t="shared" ref="G4:AI4" si="0">F4+1</f>
        <v>45446</v>
      </c>
      <c r="H4" s="30">
        <f t="shared" si="0"/>
        <v>45447</v>
      </c>
      <c r="I4" s="30">
        <f t="shared" si="0"/>
        <v>45448</v>
      </c>
      <c r="J4" s="30">
        <f t="shared" si="0"/>
        <v>45449</v>
      </c>
      <c r="K4" s="30">
        <f t="shared" si="0"/>
        <v>45450</v>
      </c>
      <c r="L4" s="30">
        <f t="shared" si="0"/>
        <v>45451</v>
      </c>
      <c r="M4" s="30">
        <f t="shared" si="0"/>
        <v>45452</v>
      </c>
      <c r="N4" s="30">
        <f t="shared" si="0"/>
        <v>45453</v>
      </c>
      <c r="O4" s="30">
        <f t="shared" si="0"/>
        <v>45454</v>
      </c>
      <c r="P4" s="30">
        <f t="shared" si="0"/>
        <v>45455</v>
      </c>
      <c r="Q4" s="30">
        <f t="shared" si="0"/>
        <v>45456</v>
      </c>
      <c r="R4" s="30">
        <f t="shared" si="0"/>
        <v>45457</v>
      </c>
      <c r="S4" s="30">
        <f t="shared" si="0"/>
        <v>45458</v>
      </c>
      <c r="T4" s="30">
        <f t="shared" si="0"/>
        <v>45459</v>
      </c>
      <c r="U4" s="30">
        <f t="shared" si="0"/>
        <v>45460</v>
      </c>
      <c r="V4" s="30">
        <f t="shared" si="0"/>
        <v>45461</v>
      </c>
      <c r="W4" s="30">
        <f t="shared" si="0"/>
        <v>45462</v>
      </c>
      <c r="X4" s="30">
        <f t="shared" si="0"/>
        <v>45463</v>
      </c>
      <c r="Y4" s="30">
        <f t="shared" si="0"/>
        <v>45464</v>
      </c>
      <c r="Z4" s="30">
        <f t="shared" si="0"/>
        <v>45465</v>
      </c>
      <c r="AA4" s="30">
        <f t="shared" si="0"/>
        <v>45466</v>
      </c>
      <c r="AB4" s="30">
        <f t="shared" si="0"/>
        <v>45467</v>
      </c>
      <c r="AC4" s="30">
        <f t="shared" si="0"/>
        <v>45468</v>
      </c>
      <c r="AD4" s="30">
        <f t="shared" si="0"/>
        <v>45469</v>
      </c>
      <c r="AE4" s="30">
        <f t="shared" si="0"/>
        <v>45470</v>
      </c>
      <c r="AF4" s="30">
        <f t="shared" si="0"/>
        <v>45471</v>
      </c>
      <c r="AG4" s="30">
        <f t="shared" si="0"/>
        <v>45472</v>
      </c>
      <c r="AH4" s="30">
        <f t="shared" si="0"/>
        <v>45473</v>
      </c>
      <c r="AI4" s="30">
        <f t="shared" si="0"/>
        <v>45474</v>
      </c>
      <c r="AJ4" s="2" t="s">
        <v>4</v>
      </c>
      <c r="AK4" s="2" t="s">
        <v>5</v>
      </c>
      <c r="AL4" s="2" t="s">
        <v>6</v>
      </c>
      <c r="AM4" s="2" t="s">
        <v>7</v>
      </c>
      <c r="AN4" s="3" t="s">
        <v>8</v>
      </c>
    </row>
    <row r="5" spans="1:40" s="4" customFormat="1" ht="29.25" customHeight="1">
      <c r="A5" s="1"/>
      <c r="B5" s="1"/>
      <c r="C5" s="1"/>
      <c r="D5" s="1"/>
      <c r="E5" s="30" t="str">
        <f>TEXT(E4,"DDD")</f>
        <v>Sat</v>
      </c>
      <c r="F5" s="30" t="str">
        <f t="shared" ref="F5:AI5" si="1">TEXT(F4,"DDD")</f>
        <v>Sun</v>
      </c>
      <c r="G5" s="30" t="str">
        <f t="shared" si="1"/>
        <v>Mon</v>
      </c>
      <c r="H5" s="30" t="str">
        <f t="shared" si="1"/>
        <v>Tue</v>
      </c>
      <c r="I5" s="30" t="str">
        <f t="shared" si="1"/>
        <v>Wed</v>
      </c>
      <c r="J5" s="30" t="str">
        <f t="shared" si="1"/>
        <v>Thu</v>
      </c>
      <c r="K5" s="30" t="str">
        <f t="shared" si="1"/>
        <v>Fri</v>
      </c>
      <c r="L5" s="30" t="str">
        <f t="shared" si="1"/>
        <v>Sat</v>
      </c>
      <c r="M5" s="30" t="str">
        <f t="shared" si="1"/>
        <v>Sun</v>
      </c>
      <c r="N5" s="30" t="str">
        <f t="shared" si="1"/>
        <v>Mon</v>
      </c>
      <c r="O5" s="30" t="str">
        <f t="shared" si="1"/>
        <v>Tue</v>
      </c>
      <c r="P5" s="30" t="str">
        <f t="shared" si="1"/>
        <v>Wed</v>
      </c>
      <c r="Q5" s="30" t="str">
        <f t="shared" si="1"/>
        <v>Thu</v>
      </c>
      <c r="R5" s="30" t="str">
        <f t="shared" si="1"/>
        <v>Fri</v>
      </c>
      <c r="S5" s="30" t="str">
        <f t="shared" si="1"/>
        <v>Sat</v>
      </c>
      <c r="T5" s="30" t="str">
        <f t="shared" si="1"/>
        <v>Sun</v>
      </c>
      <c r="U5" s="30" t="str">
        <f t="shared" si="1"/>
        <v>Mon</v>
      </c>
      <c r="V5" s="30" t="str">
        <f t="shared" si="1"/>
        <v>Tue</v>
      </c>
      <c r="W5" s="30" t="str">
        <f t="shared" si="1"/>
        <v>Wed</v>
      </c>
      <c r="X5" s="30" t="str">
        <f t="shared" si="1"/>
        <v>Thu</v>
      </c>
      <c r="Y5" s="30" t="str">
        <f t="shared" si="1"/>
        <v>Fri</v>
      </c>
      <c r="Z5" s="30" t="str">
        <f t="shared" si="1"/>
        <v>Sat</v>
      </c>
      <c r="AA5" s="30" t="str">
        <f t="shared" si="1"/>
        <v>Sun</v>
      </c>
      <c r="AB5" s="30" t="str">
        <f t="shared" si="1"/>
        <v>Mon</v>
      </c>
      <c r="AC5" s="30" t="str">
        <f t="shared" si="1"/>
        <v>Tue</v>
      </c>
      <c r="AD5" s="30" t="str">
        <f t="shared" si="1"/>
        <v>Wed</v>
      </c>
      <c r="AE5" s="30" t="str">
        <f t="shared" si="1"/>
        <v>Thu</v>
      </c>
      <c r="AF5" s="30" t="str">
        <f t="shared" si="1"/>
        <v>Fri</v>
      </c>
      <c r="AG5" s="30" t="str">
        <f t="shared" si="1"/>
        <v>Sat</v>
      </c>
      <c r="AH5" s="30" t="str">
        <f t="shared" si="1"/>
        <v>Sun</v>
      </c>
      <c r="AI5" s="30" t="str">
        <f t="shared" si="1"/>
        <v>Mon</v>
      </c>
      <c r="AJ5" s="2"/>
      <c r="AK5" s="2"/>
      <c r="AL5" s="2"/>
      <c r="AM5" s="2"/>
      <c r="AN5" s="3"/>
    </row>
    <row r="6" spans="1:40">
      <c r="A6" s="5">
        <v>1</v>
      </c>
      <c r="B6" s="5">
        <v>1040</v>
      </c>
      <c r="C6" s="5" t="s">
        <v>9</v>
      </c>
      <c r="D6" s="6" t="s">
        <v>10</v>
      </c>
      <c r="E6" s="7" t="s">
        <v>10</v>
      </c>
      <c r="F6" s="7" t="s">
        <v>91</v>
      </c>
      <c r="G6" s="7" t="s">
        <v>94</v>
      </c>
      <c r="H6" s="7" t="s">
        <v>94</v>
      </c>
      <c r="I6" s="7" t="s">
        <v>94</v>
      </c>
      <c r="J6" s="7" t="s">
        <v>94</v>
      </c>
      <c r="K6" s="7" t="s">
        <v>94</v>
      </c>
      <c r="L6" s="7" t="s">
        <v>94</v>
      </c>
      <c r="M6" s="7"/>
      <c r="N6" s="7" t="s">
        <v>91</v>
      </c>
      <c r="O6" s="7" t="s">
        <v>98</v>
      </c>
      <c r="P6" s="7" t="s">
        <v>10</v>
      </c>
      <c r="Q6" s="7" t="s">
        <v>94</v>
      </c>
      <c r="R6" s="7" t="s">
        <v>94</v>
      </c>
      <c r="S6" s="7" t="s">
        <v>94</v>
      </c>
      <c r="T6" s="7"/>
      <c r="U6" s="7" t="s">
        <v>94</v>
      </c>
      <c r="V6" s="7" t="s">
        <v>94</v>
      </c>
      <c r="W6" s="7" t="s">
        <v>94</v>
      </c>
      <c r="X6" s="7" t="s">
        <v>94</v>
      </c>
      <c r="Y6" s="7" t="s">
        <v>94</v>
      </c>
      <c r="Z6" s="7" t="s">
        <v>94</v>
      </c>
      <c r="AA6" s="7"/>
      <c r="AB6" s="7" t="s">
        <v>94</v>
      </c>
      <c r="AC6" s="7" t="s">
        <v>94</v>
      </c>
      <c r="AD6" s="7" t="s">
        <v>94</v>
      </c>
      <c r="AE6" s="7" t="s">
        <v>94</v>
      </c>
      <c r="AF6" s="7" t="s">
        <v>94</v>
      </c>
      <c r="AG6" s="7" t="s">
        <v>94</v>
      </c>
      <c r="AH6" s="7"/>
      <c r="AI6" s="7" t="s">
        <v>94</v>
      </c>
      <c r="AJ6" s="5">
        <f>COUNTIF(E6:AI6,"P")</f>
        <v>22</v>
      </c>
      <c r="AK6" s="5">
        <f>COUNTIF(E6:AI6,"A")</f>
        <v>2</v>
      </c>
      <c r="AL6" s="5">
        <f>COUNTIF(E6:AI6,"L")</f>
        <v>1</v>
      </c>
      <c r="AM6" s="5">
        <f>COUNTIF(E6:AI6,"X")</f>
        <v>2</v>
      </c>
      <c r="AN6" s="5"/>
    </row>
    <row r="7" spans="1:40">
      <c r="A7" s="5">
        <v>2</v>
      </c>
      <c r="B7" s="5">
        <v>1088</v>
      </c>
      <c r="C7" s="5" t="s">
        <v>11</v>
      </c>
      <c r="D7" s="6" t="s">
        <v>10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5"/>
      <c r="AK7" s="5"/>
      <c r="AL7" s="5"/>
      <c r="AM7" s="5"/>
      <c r="AN7" s="5"/>
    </row>
    <row r="8" spans="1:40">
      <c r="A8" s="5">
        <v>3</v>
      </c>
      <c r="B8" s="5">
        <v>1087</v>
      </c>
      <c r="C8" s="5" t="s">
        <v>12</v>
      </c>
      <c r="D8" s="6" t="s">
        <v>10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5"/>
      <c r="AK8" s="5"/>
      <c r="AL8" s="5"/>
      <c r="AM8" s="5"/>
      <c r="AN8" s="5"/>
    </row>
    <row r="9" spans="1:40">
      <c r="A9" s="5">
        <v>4</v>
      </c>
      <c r="B9" s="5">
        <v>1042</v>
      </c>
      <c r="C9" s="5" t="s">
        <v>13</v>
      </c>
      <c r="D9" s="6" t="s">
        <v>10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5"/>
      <c r="AK9" s="5"/>
      <c r="AL9" s="5"/>
      <c r="AM9" s="5"/>
      <c r="AN9" s="5"/>
    </row>
    <row r="10" spans="1:40">
      <c r="A10" s="5">
        <v>5</v>
      </c>
      <c r="B10" s="5">
        <v>1027</v>
      </c>
      <c r="C10" s="5" t="s">
        <v>14</v>
      </c>
      <c r="D10" s="6" t="s">
        <v>10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5"/>
      <c r="AK10" s="5"/>
      <c r="AL10" s="5"/>
      <c r="AM10" s="5"/>
      <c r="AN10" s="5"/>
    </row>
    <row r="11" spans="1:40">
      <c r="A11" s="5">
        <v>6</v>
      </c>
      <c r="B11" s="5">
        <v>1033</v>
      </c>
      <c r="C11" s="5" t="s">
        <v>15</v>
      </c>
      <c r="D11" s="6" t="s">
        <v>10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5"/>
      <c r="AK11" s="5"/>
      <c r="AL11" s="5"/>
      <c r="AM11" s="5"/>
      <c r="AN11" s="5"/>
    </row>
    <row r="12" spans="1:40">
      <c r="A12" s="5">
        <v>7</v>
      </c>
      <c r="B12" s="5">
        <v>1021</v>
      </c>
      <c r="C12" s="5" t="s">
        <v>16</v>
      </c>
      <c r="D12" s="6" t="s">
        <v>10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5"/>
      <c r="AK12" s="5"/>
      <c r="AL12" s="5"/>
      <c r="AM12" s="5"/>
      <c r="AN12" s="5"/>
    </row>
    <row r="13" spans="1:40">
      <c r="A13" s="5">
        <v>8</v>
      </c>
      <c r="B13" s="5">
        <v>1063</v>
      </c>
      <c r="C13" s="5" t="s">
        <v>17</v>
      </c>
      <c r="D13" s="6" t="s">
        <v>10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5"/>
      <c r="AK13" s="5"/>
      <c r="AL13" s="5"/>
      <c r="AM13" s="5"/>
      <c r="AN13" s="5"/>
    </row>
    <row r="14" spans="1:40">
      <c r="A14" s="5">
        <v>9</v>
      </c>
      <c r="B14" s="5">
        <v>1029</v>
      </c>
      <c r="C14" s="5" t="s">
        <v>18</v>
      </c>
      <c r="D14" s="6" t="s">
        <v>10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5"/>
      <c r="AK14" s="5"/>
      <c r="AL14" s="5"/>
      <c r="AM14" s="5"/>
      <c r="AN14" s="5"/>
    </row>
    <row r="15" spans="1:40">
      <c r="A15" s="5">
        <v>10</v>
      </c>
      <c r="B15" s="5">
        <v>1089</v>
      </c>
      <c r="C15" s="5" t="s">
        <v>19</v>
      </c>
      <c r="D15" s="6" t="s">
        <v>10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5"/>
      <c r="AK15" s="5"/>
      <c r="AL15" s="5"/>
      <c r="AM15" s="5"/>
      <c r="AN15" s="5"/>
    </row>
    <row r="16" spans="1:40">
      <c r="A16" s="5">
        <v>11</v>
      </c>
      <c r="B16" s="5">
        <v>1100</v>
      </c>
      <c r="C16" s="5" t="s">
        <v>20</v>
      </c>
      <c r="D16" s="6" t="s">
        <v>10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5"/>
      <c r="AK16" s="5"/>
      <c r="AL16" s="5"/>
      <c r="AM16" s="5"/>
      <c r="AN16" s="5"/>
    </row>
    <row r="17" spans="1:40">
      <c r="A17" s="5">
        <v>12</v>
      </c>
      <c r="B17" s="5">
        <v>1097</v>
      </c>
      <c r="C17" s="5" t="s">
        <v>21</v>
      </c>
      <c r="D17" s="6" t="s">
        <v>10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5"/>
      <c r="AK17" s="5"/>
      <c r="AL17" s="5"/>
      <c r="AM17" s="5"/>
      <c r="AN17" s="5"/>
    </row>
    <row r="18" spans="1:40">
      <c r="A18" s="5">
        <v>13</v>
      </c>
      <c r="B18" s="5">
        <v>1052</v>
      </c>
      <c r="C18" s="5" t="s">
        <v>22</v>
      </c>
      <c r="D18" s="6" t="s">
        <v>10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5"/>
      <c r="AK18" s="5"/>
      <c r="AL18" s="5"/>
      <c r="AM18" s="5"/>
      <c r="AN18" s="5"/>
    </row>
    <row r="19" spans="1:40">
      <c r="A19" s="5">
        <v>14</v>
      </c>
      <c r="B19" s="5">
        <v>1063</v>
      </c>
      <c r="C19" s="5" t="s">
        <v>23</v>
      </c>
      <c r="D19" s="6" t="s">
        <v>10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5"/>
      <c r="AK19" s="5"/>
      <c r="AL19" s="5"/>
      <c r="AM19" s="5"/>
      <c r="AN19" s="5"/>
    </row>
    <row r="20" spans="1:40">
      <c r="A20" s="5">
        <v>15</v>
      </c>
      <c r="B20" s="5">
        <v>1063</v>
      </c>
      <c r="C20" s="5" t="s">
        <v>24</v>
      </c>
      <c r="D20" s="6" t="s">
        <v>10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5"/>
      <c r="AK20" s="5"/>
      <c r="AL20" s="5"/>
      <c r="AM20" s="5"/>
      <c r="AN20" s="5"/>
    </row>
    <row r="21" spans="1:40">
      <c r="A21" s="5">
        <v>16</v>
      </c>
      <c r="B21" s="5">
        <v>1094</v>
      </c>
      <c r="C21" s="5" t="s">
        <v>25</v>
      </c>
      <c r="D21" s="6" t="s">
        <v>10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5"/>
      <c r="AK21" s="5"/>
      <c r="AL21" s="5"/>
      <c r="AM21" s="5"/>
      <c r="AN21" s="5"/>
    </row>
    <row r="22" spans="1:40">
      <c r="A22" s="5">
        <v>17</v>
      </c>
      <c r="B22" s="5">
        <v>1000</v>
      </c>
      <c r="C22" s="5" t="s">
        <v>26</v>
      </c>
      <c r="D22" s="6" t="s">
        <v>10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5"/>
      <c r="AK22" s="5"/>
      <c r="AL22" s="5"/>
      <c r="AM22" s="5"/>
      <c r="AN22" s="5"/>
    </row>
    <row r="23" spans="1:40">
      <c r="A23" s="5">
        <v>18</v>
      </c>
      <c r="B23" s="5">
        <v>1011</v>
      </c>
      <c r="C23" s="5" t="s">
        <v>27</v>
      </c>
      <c r="D23" s="6" t="s">
        <v>10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5"/>
      <c r="AK23" s="5"/>
      <c r="AL23" s="5"/>
      <c r="AM23" s="5"/>
      <c r="AN23" s="5"/>
    </row>
    <row r="24" spans="1:40">
      <c r="A24" s="5">
        <v>19</v>
      </c>
      <c r="B24" s="5">
        <v>1095</v>
      </c>
      <c r="C24" s="5" t="s">
        <v>28</v>
      </c>
      <c r="D24" s="6" t="s">
        <v>10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5"/>
      <c r="AK24" s="5"/>
      <c r="AL24" s="5"/>
      <c r="AM24" s="5"/>
      <c r="AN24" s="5"/>
    </row>
    <row r="25" spans="1:40">
      <c r="A25" s="5">
        <v>20</v>
      </c>
      <c r="B25" s="5">
        <v>1039</v>
      </c>
      <c r="C25" s="5" t="s">
        <v>29</v>
      </c>
      <c r="D25" s="6" t="s">
        <v>10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5"/>
      <c r="AK25" s="5"/>
      <c r="AL25" s="5"/>
      <c r="AM25" s="5"/>
      <c r="AN25" s="5"/>
    </row>
    <row r="26" spans="1:40">
      <c r="A26" s="5">
        <v>21</v>
      </c>
      <c r="B26" s="5">
        <v>1086</v>
      </c>
      <c r="C26" s="5" t="s">
        <v>30</v>
      </c>
      <c r="D26" s="6" t="s">
        <v>10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5"/>
      <c r="AK26" s="5"/>
      <c r="AL26" s="5"/>
      <c r="AM26" s="5"/>
      <c r="AN26" s="5"/>
    </row>
    <row r="27" spans="1:40">
      <c r="A27" s="5">
        <v>22</v>
      </c>
      <c r="B27" s="5">
        <v>1058</v>
      </c>
      <c r="C27" s="5" t="s">
        <v>31</v>
      </c>
      <c r="D27" s="6" t="s">
        <v>10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5"/>
      <c r="AK27" s="5"/>
      <c r="AL27" s="5"/>
      <c r="AM27" s="5"/>
      <c r="AN27" s="5"/>
    </row>
    <row r="28" spans="1:40">
      <c r="A28" s="5">
        <v>23</v>
      </c>
      <c r="B28" s="5">
        <v>1068</v>
      </c>
      <c r="C28" s="5" t="s">
        <v>32</v>
      </c>
      <c r="D28" s="6" t="s">
        <v>10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5"/>
      <c r="AK28" s="5"/>
      <c r="AL28" s="5"/>
      <c r="AM28" s="5"/>
      <c r="AN28" s="5"/>
    </row>
    <row r="29" spans="1:40">
      <c r="A29" s="5">
        <v>24</v>
      </c>
      <c r="B29" s="5">
        <v>1094</v>
      </c>
      <c r="C29" s="5" t="s">
        <v>33</v>
      </c>
      <c r="D29" s="6" t="s">
        <v>10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5"/>
      <c r="AK29" s="5"/>
      <c r="AL29" s="5"/>
      <c r="AM29" s="5"/>
      <c r="AN29" s="5"/>
    </row>
    <row r="31" spans="1:40">
      <c r="B31" t="s">
        <v>92</v>
      </c>
      <c r="C31" t="s">
        <v>93</v>
      </c>
    </row>
    <row r="32" spans="1:40">
      <c r="B32" t="s">
        <v>101</v>
      </c>
      <c r="C32" t="s">
        <v>102</v>
      </c>
    </row>
    <row r="33" spans="3:3">
      <c r="C33" t="s">
        <v>103</v>
      </c>
    </row>
  </sheetData>
  <conditionalFormatting sqref="E5:AI5">
    <cfRule type="containsText" dxfId="15" priority="3" operator="containsText" text="Sun">
      <formula>NOT(ISERROR(SEARCH("Sun",E5)))</formula>
    </cfRule>
  </conditionalFormatting>
  <conditionalFormatting sqref="E5:AI29">
    <cfRule type="expression" dxfId="14" priority="1">
      <formula>$E$5:$AI$5="Sun"</formula>
    </cfRule>
  </conditionalFormatting>
  <conditionalFormatting sqref="E6:AI29">
    <cfRule type="cellIs" dxfId="13" priority="4" operator="equal">
      <formula>"L"</formula>
    </cfRule>
    <cfRule type="cellIs" dxfId="12" priority="5" operator="equal">
      <formula>"X"</formula>
    </cfRule>
    <cfRule type="cellIs" dxfId="11" priority="6" operator="equal">
      <formula>"A"</formula>
    </cfRule>
    <cfRule type="cellIs" dxfId="10" priority="7" operator="equal">
      <formula>"P"</formula>
    </cfRule>
  </conditionalFormatting>
  <dataValidations count="1">
    <dataValidation type="list" allowBlank="1" showInputMessage="1" showErrorMessage="1" sqref="E6:AI29" xr:uid="{06F4BF69-6886-41B8-8CEC-7DAE54FCA02F}">
      <formula1>"P,A,L,X"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D35CD-E97B-42C6-8491-AF2B1253E7D2}">
  <dimension ref="A1:J25"/>
  <sheetViews>
    <sheetView showGridLines="0" workbookViewId="0">
      <selection activeCell="H4" sqref="H4"/>
    </sheetView>
  </sheetViews>
  <sheetFormatPr defaultColWidth="10.28515625" defaultRowHeight="15"/>
  <cols>
    <col min="1" max="1" width="5.5703125" style="31" customWidth="1"/>
    <col min="2" max="2" width="22.7109375" style="31" bestFit="1" customWidth="1"/>
    <col min="3" max="3" width="13" style="31" customWidth="1"/>
    <col min="4" max="4" width="11.140625" style="31" bestFit="1" customWidth="1"/>
    <col min="5" max="5" width="15.7109375" style="31" bestFit="1" customWidth="1"/>
    <col min="6" max="6" width="5.5703125" style="31" customWidth="1"/>
    <col min="7" max="7" width="27.42578125" style="31" bestFit="1" customWidth="1"/>
    <col min="8" max="8" width="13.5703125" style="31" customWidth="1"/>
    <col min="9" max="9" width="14" style="31" bestFit="1" customWidth="1"/>
    <col min="10" max="10" width="5.5703125" style="31" customWidth="1"/>
    <col min="11" max="16384" width="10.28515625" style="31"/>
  </cols>
  <sheetData>
    <row r="1" spans="1:10" ht="22.5">
      <c r="G1" s="32"/>
    </row>
    <row r="2" spans="1:10" s="33" customFormat="1" ht="19.5">
      <c r="B2" s="96"/>
      <c r="C2" s="96"/>
      <c r="D2" s="96"/>
      <c r="E2" s="96"/>
      <c r="G2" s="97" t="s">
        <v>105</v>
      </c>
      <c r="H2" s="97"/>
      <c r="I2" s="97"/>
      <c r="J2" s="34"/>
    </row>
    <row r="3" spans="1:10" s="47" customFormat="1" ht="60">
      <c r="A3" s="47" t="s">
        <v>106</v>
      </c>
      <c r="B3" s="48" t="s">
        <v>108</v>
      </c>
      <c r="C3" s="48" t="s">
        <v>110</v>
      </c>
      <c r="D3" s="48" t="s">
        <v>111</v>
      </c>
      <c r="E3" s="48" t="s">
        <v>112</v>
      </c>
      <c r="F3" s="49"/>
      <c r="G3" s="48" t="s">
        <v>113</v>
      </c>
      <c r="H3" s="48" t="s">
        <v>114</v>
      </c>
      <c r="I3" s="48" t="s">
        <v>115</v>
      </c>
    </row>
    <row r="4" spans="1:10" ht="21" customHeight="1">
      <c r="B4" s="40" t="s">
        <v>116</v>
      </c>
      <c r="C4" s="41">
        <v>72</v>
      </c>
      <c r="D4" s="41">
        <v>34500</v>
      </c>
      <c r="E4" s="42"/>
      <c r="G4" s="43" t="s">
        <v>116</v>
      </c>
      <c r="H4" s="44"/>
      <c r="I4" s="44"/>
    </row>
    <row r="5" spans="1:10" ht="21" customHeight="1">
      <c r="B5" s="40" t="s">
        <v>125</v>
      </c>
      <c r="C5" s="41">
        <v>8</v>
      </c>
      <c r="D5" s="41">
        <v>52000</v>
      </c>
      <c r="E5" s="42"/>
      <c r="G5" s="43" t="s">
        <v>125</v>
      </c>
      <c r="H5" s="44"/>
      <c r="I5" s="44"/>
    </row>
    <row r="6" spans="1:10" ht="21" customHeight="1">
      <c r="B6" s="40" t="s">
        <v>120</v>
      </c>
      <c r="C6" s="41">
        <v>15</v>
      </c>
      <c r="D6" s="41">
        <v>1500</v>
      </c>
      <c r="E6" s="42"/>
      <c r="G6" s="43" t="s">
        <v>120</v>
      </c>
      <c r="H6" s="44"/>
      <c r="I6" s="44"/>
    </row>
    <row r="7" spans="1:10" ht="21" customHeight="1">
      <c r="B7" s="40" t="s">
        <v>122</v>
      </c>
      <c r="C7" s="41">
        <v>15</v>
      </c>
      <c r="D7" s="41">
        <v>1000</v>
      </c>
      <c r="E7" s="42"/>
      <c r="G7" s="43" t="s">
        <v>122</v>
      </c>
      <c r="H7" s="44"/>
      <c r="I7" s="44"/>
    </row>
    <row r="8" spans="1:10" ht="21" customHeight="1">
      <c r="B8" s="40" t="s">
        <v>120</v>
      </c>
      <c r="C8" s="41">
        <v>10</v>
      </c>
      <c r="D8" s="41">
        <f>VLOOKUP(B8,$B$4:$D$10,3,0)</f>
        <v>1500</v>
      </c>
      <c r="E8" s="42"/>
      <c r="G8" s="43" t="s">
        <v>123</v>
      </c>
      <c r="H8" s="44"/>
      <c r="I8" s="44"/>
    </row>
    <row r="9" spans="1:10" ht="21" customHeight="1" thickBot="1">
      <c r="B9" s="40" t="s">
        <v>116</v>
      </c>
      <c r="C9" s="41">
        <v>48</v>
      </c>
      <c r="D9" s="41">
        <f>VLOOKUP(B9,$B$4:$D$10,3,0)</f>
        <v>34500</v>
      </c>
      <c r="E9" s="42"/>
      <c r="G9" s="45" t="s">
        <v>124</v>
      </c>
      <c r="H9" s="45"/>
      <c r="I9" s="46"/>
    </row>
    <row r="10" spans="1:10" ht="21" customHeight="1" thickTop="1">
      <c r="B10" s="40" t="s">
        <v>123</v>
      </c>
      <c r="C10" s="41">
        <v>8</v>
      </c>
      <c r="D10" s="41">
        <v>7450</v>
      </c>
      <c r="E10" s="42"/>
    </row>
    <row r="11" spans="1:10" ht="21" customHeight="1">
      <c r="B11" s="40" t="s">
        <v>125</v>
      </c>
      <c r="C11" s="41">
        <v>15</v>
      </c>
      <c r="D11" s="41">
        <f t="shared" ref="D11:D23" si="0">VLOOKUP(B11,$B$4:$D$10,3,0)</f>
        <v>52000</v>
      </c>
      <c r="E11" s="42"/>
    </row>
    <row r="12" spans="1:10" ht="21" customHeight="1">
      <c r="B12" s="40" t="s">
        <v>120</v>
      </c>
      <c r="C12" s="41">
        <v>20</v>
      </c>
      <c r="D12" s="41">
        <f t="shared" si="0"/>
        <v>1500</v>
      </c>
      <c r="E12" s="42"/>
    </row>
    <row r="13" spans="1:10" ht="21" customHeight="1">
      <c r="B13" s="40" t="s">
        <v>116</v>
      </c>
      <c r="C13" s="41">
        <v>12</v>
      </c>
      <c r="D13" s="41">
        <f t="shared" si="0"/>
        <v>34500</v>
      </c>
      <c r="E13" s="42"/>
      <c r="G13" s="74" t="s">
        <v>123</v>
      </c>
    </row>
    <row r="14" spans="1:10" ht="21" customHeight="1">
      <c r="B14" s="40" t="s">
        <v>125</v>
      </c>
      <c r="C14" s="41">
        <v>5</v>
      </c>
      <c r="D14" s="41">
        <f t="shared" si="0"/>
        <v>52000</v>
      </c>
      <c r="E14" s="42"/>
      <c r="G14" s="31">
        <f ca="1">SUMIF(B4:E23,G13,C4:C23)</f>
        <v>18</v>
      </c>
    </row>
    <row r="15" spans="1:10" ht="21" customHeight="1">
      <c r="B15" s="40" t="s">
        <v>120</v>
      </c>
      <c r="C15" s="41">
        <v>1</v>
      </c>
      <c r="D15" s="41">
        <f t="shared" si="0"/>
        <v>1500</v>
      </c>
      <c r="E15" s="42"/>
    </row>
    <row r="16" spans="1:10" ht="21" customHeight="1">
      <c r="B16" s="40" t="s">
        <v>120</v>
      </c>
      <c r="C16" s="41">
        <v>5</v>
      </c>
      <c r="D16" s="41">
        <f t="shared" si="0"/>
        <v>1500</v>
      </c>
      <c r="E16" s="42"/>
    </row>
    <row r="17" spans="2:5" ht="21" customHeight="1">
      <c r="B17" s="40" t="s">
        <v>116</v>
      </c>
      <c r="C17" s="41">
        <v>18</v>
      </c>
      <c r="D17" s="41">
        <f t="shared" si="0"/>
        <v>34500</v>
      </c>
      <c r="E17" s="42"/>
    </row>
    <row r="18" spans="2:5" ht="21" customHeight="1">
      <c r="B18" s="40" t="s">
        <v>123</v>
      </c>
      <c r="C18" s="41">
        <v>5</v>
      </c>
      <c r="D18" s="41">
        <f t="shared" si="0"/>
        <v>7450</v>
      </c>
      <c r="E18" s="42"/>
    </row>
    <row r="19" spans="2:5" ht="21" customHeight="1">
      <c r="B19" s="40" t="s">
        <v>116</v>
      </c>
      <c r="C19" s="41">
        <v>12</v>
      </c>
      <c r="D19" s="41">
        <f t="shared" si="0"/>
        <v>34500</v>
      </c>
      <c r="E19" s="42"/>
    </row>
    <row r="20" spans="2:5" ht="21" customHeight="1">
      <c r="B20" s="40" t="s">
        <v>125</v>
      </c>
      <c r="C20" s="41">
        <v>4</v>
      </c>
      <c r="D20" s="41">
        <f t="shared" si="0"/>
        <v>52000</v>
      </c>
      <c r="E20" s="42"/>
    </row>
    <row r="21" spans="2:5" ht="21" customHeight="1">
      <c r="B21" s="40" t="s">
        <v>120</v>
      </c>
      <c r="C21" s="41">
        <v>4</v>
      </c>
      <c r="D21" s="41">
        <f t="shared" si="0"/>
        <v>1500</v>
      </c>
      <c r="E21" s="42"/>
    </row>
    <row r="22" spans="2:5" ht="21" customHeight="1">
      <c r="B22" s="40" t="s">
        <v>116</v>
      </c>
      <c r="C22" s="41">
        <v>18</v>
      </c>
      <c r="D22" s="41">
        <f t="shared" si="0"/>
        <v>34500</v>
      </c>
      <c r="E22" s="42"/>
    </row>
    <row r="23" spans="2:5" ht="21" customHeight="1">
      <c r="B23" s="40" t="s">
        <v>123</v>
      </c>
      <c r="C23" s="41">
        <v>5</v>
      </c>
      <c r="D23" s="41">
        <f t="shared" si="0"/>
        <v>7450</v>
      </c>
      <c r="E23" s="42"/>
    </row>
    <row r="24" spans="2:5" ht="21" customHeight="1" thickBot="1">
      <c r="B24" s="45" t="s">
        <v>124</v>
      </c>
      <c r="C24" s="46">
        <f>SUM(C4:C23)</f>
        <v>300</v>
      </c>
      <c r="D24" s="46"/>
      <c r="E24" s="46">
        <f>SUM(E4:E23)</f>
        <v>0</v>
      </c>
    </row>
    <row r="25" spans="2:5" ht="15.75" thickTop="1"/>
  </sheetData>
  <mergeCells count="2">
    <mergeCell ref="B2:E2"/>
    <mergeCell ref="G2:I2"/>
  </mergeCells>
  <conditionalFormatting sqref="B8:B10">
    <cfRule type="duplicateValues" dxfId="9" priority="3"/>
  </conditionalFormatting>
  <conditionalFormatting sqref="B16:B18">
    <cfRule type="duplicateValues" dxfId="8" priority="2"/>
  </conditionalFormatting>
  <conditionalFormatting sqref="B22:B23">
    <cfRule type="duplicateValues" dxfId="7" priority="1"/>
  </conditionalFormatting>
  <conditionalFormatting sqref="G8:G9">
    <cfRule type="duplicateValues" dxfId="6" priority="4"/>
  </conditionalFormatting>
  <dataValidations count="1">
    <dataValidation type="list" allowBlank="1" showInputMessage="1" showErrorMessage="1" sqref="G13 I13" xr:uid="{6AF3154E-4D34-4641-B8B7-CAD9E515F04A}">
      <formula1>$G$4:$G$8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4CC98-7606-4EEB-A233-F1DF6F57474C}">
  <dimension ref="A1:Z29"/>
  <sheetViews>
    <sheetView workbookViewId="0">
      <selection activeCell="R1" sqref="R1"/>
    </sheetView>
  </sheetViews>
  <sheetFormatPr defaultRowHeight="15"/>
  <cols>
    <col min="1" max="1" width="31.140625" customWidth="1"/>
    <col min="3" max="3" width="9.7109375" bestFit="1" customWidth="1"/>
    <col min="18" max="18" width="13.140625" bestFit="1" customWidth="1"/>
    <col min="25" max="25" width="13.140625" bestFit="1" customWidth="1"/>
  </cols>
  <sheetData>
    <row r="1" spans="1:26">
      <c r="A1" t="s">
        <v>228</v>
      </c>
      <c r="C1" s="25">
        <f ca="1">TODAY()</f>
        <v>46282</v>
      </c>
      <c r="F1" t="str">
        <f ca="1">_xlfn.FORMULATEXT(C1)</f>
        <v>=TODAY()</v>
      </c>
    </row>
    <row r="2" spans="1:26">
      <c r="A2" t="s">
        <v>237</v>
      </c>
      <c r="C2" s="25">
        <v>17393</v>
      </c>
      <c r="N2">
        <v>2525</v>
      </c>
      <c r="R2" s="77">
        <v>923323744945</v>
      </c>
      <c r="T2" t="str">
        <f>RIGHT(R2,10)</f>
        <v>3323744945</v>
      </c>
      <c r="V2" t="str">
        <f>CONCATENATE("0",T2)</f>
        <v>03323744945</v>
      </c>
      <c r="Y2" s="77" t="s">
        <v>255</v>
      </c>
      <c r="Z2">
        <f>LEN(Y2)</f>
        <v>11</v>
      </c>
    </row>
    <row r="3" spans="1:26">
      <c r="N3">
        <v>2528</v>
      </c>
      <c r="P3">
        <f ca="1">RANDBETWEEN(N2,N26)</f>
        <v>2566</v>
      </c>
      <c r="R3" s="77">
        <v>923323744946</v>
      </c>
      <c r="T3" t="str">
        <f t="shared" ref="T3:T25" si="0">RIGHT(R3,10)</f>
        <v>3323744946</v>
      </c>
      <c r="V3" t="str">
        <f t="shared" ref="V3:V24" si="1">CONCATENATE("0",T3)</f>
        <v>03323744946</v>
      </c>
      <c r="Y3" s="77" t="s">
        <v>254</v>
      </c>
      <c r="Z3">
        <f t="shared" ref="Z3:Z4" si="2">LEN(Y3)</f>
        <v>13</v>
      </c>
    </row>
    <row r="4" spans="1:26">
      <c r="A4" t="s">
        <v>238</v>
      </c>
      <c r="C4">
        <f ca="1">DATEDIF(C2,C1,"M")</f>
        <v>949</v>
      </c>
      <c r="F4" t="str">
        <f t="shared" ref="F4:F13" ca="1" si="3">_xlfn.FORMULATEXT(C4)</f>
        <v>=DATEDIF(C2,C1,"M")</v>
      </c>
      <c r="N4">
        <v>2531</v>
      </c>
      <c r="R4" s="77">
        <v>923323744947</v>
      </c>
      <c r="T4" t="str">
        <f t="shared" si="0"/>
        <v>3323744947</v>
      </c>
      <c r="V4" t="str">
        <f t="shared" si="1"/>
        <v>03323744947</v>
      </c>
      <c r="Y4" s="77">
        <v>923323744945</v>
      </c>
      <c r="Z4">
        <f t="shared" si="2"/>
        <v>12</v>
      </c>
    </row>
    <row r="5" spans="1:26">
      <c r="A5" t="s">
        <v>239</v>
      </c>
      <c r="C5">
        <f ca="1">DATEDIF(C2,C1,"Y")</f>
        <v>79</v>
      </c>
      <c r="F5" t="str">
        <f t="shared" ca="1" si="3"/>
        <v>=DATEDIF(C2,C1,"Y")</v>
      </c>
      <c r="N5">
        <v>2534</v>
      </c>
      <c r="R5" s="77">
        <v>923323744948</v>
      </c>
      <c r="T5" t="str">
        <f t="shared" si="0"/>
        <v>3323744948</v>
      </c>
      <c r="V5" t="str">
        <f t="shared" si="1"/>
        <v>03323744948</v>
      </c>
    </row>
    <row r="6" spans="1:26">
      <c r="A6" t="s">
        <v>240</v>
      </c>
      <c r="C6">
        <f ca="1">DATEDIF(C2,C1,"D")</f>
        <v>28889</v>
      </c>
      <c r="F6" t="str">
        <f t="shared" ca="1" si="3"/>
        <v>=DATEDIF(C2,C1,"D")</v>
      </c>
      <c r="N6">
        <v>2537</v>
      </c>
      <c r="R6" s="77">
        <v>923323744949</v>
      </c>
      <c r="T6" t="str">
        <f t="shared" si="0"/>
        <v>3323744949</v>
      </c>
      <c r="V6" t="str">
        <f t="shared" si="1"/>
        <v>03323744949</v>
      </c>
    </row>
    <row r="7" spans="1:26">
      <c r="N7">
        <v>2540</v>
      </c>
      <c r="R7" s="77">
        <v>923323744950</v>
      </c>
      <c r="T7" t="str">
        <f t="shared" si="0"/>
        <v>3323744950</v>
      </c>
      <c r="V7" t="str">
        <f t="shared" si="1"/>
        <v>03323744950</v>
      </c>
    </row>
    <row r="8" spans="1:26">
      <c r="A8" t="s">
        <v>241</v>
      </c>
      <c r="C8" s="75">
        <f ca="1">EDATE(C1,1)</f>
        <v>46312</v>
      </c>
      <c r="F8" t="str">
        <f t="shared" ca="1" si="3"/>
        <v>=EDATE(C1,1)</v>
      </c>
      <c r="N8">
        <v>2543</v>
      </c>
      <c r="R8" s="77">
        <v>923323744951</v>
      </c>
      <c r="T8" t="str">
        <f t="shared" si="0"/>
        <v>3323744951</v>
      </c>
      <c r="V8" t="str">
        <f t="shared" si="1"/>
        <v>03323744951</v>
      </c>
    </row>
    <row r="9" spans="1:26">
      <c r="A9" t="s">
        <v>242</v>
      </c>
      <c r="C9" s="75">
        <f ca="1">EOMONTH(C1,1)</f>
        <v>46326</v>
      </c>
      <c r="F9" t="str">
        <f t="shared" ca="1" si="3"/>
        <v>=EOMONTH(C1,1)</v>
      </c>
      <c r="N9">
        <v>2546</v>
      </c>
      <c r="R9" s="77">
        <v>923323744952</v>
      </c>
      <c r="T9" t="str">
        <f t="shared" si="0"/>
        <v>3323744952</v>
      </c>
      <c r="V9" t="str">
        <f t="shared" si="1"/>
        <v>03323744952</v>
      </c>
    </row>
    <row r="10" spans="1:26">
      <c r="N10">
        <v>2549</v>
      </c>
      <c r="R10" s="77">
        <v>923323744953</v>
      </c>
      <c r="T10" t="str">
        <f t="shared" si="0"/>
        <v>3323744953</v>
      </c>
      <c r="V10" t="str">
        <f t="shared" si="1"/>
        <v>03323744953</v>
      </c>
    </row>
    <row r="11" spans="1:26">
      <c r="C11">
        <f ca="1">DAY(C1)</f>
        <v>17</v>
      </c>
      <c r="F11" t="str">
        <f t="shared" ca="1" si="3"/>
        <v>=DAY(C1)</v>
      </c>
      <c r="N11">
        <v>2552</v>
      </c>
      <c r="R11" s="77">
        <v>923323744954</v>
      </c>
      <c r="T11" t="str">
        <f t="shared" si="0"/>
        <v>3323744954</v>
      </c>
      <c r="V11" t="str">
        <f t="shared" si="1"/>
        <v>03323744954</v>
      </c>
    </row>
    <row r="12" spans="1:26">
      <c r="C12">
        <f ca="1">MONTH(C1)</f>
        <v>9</v>
      </c>
      <c r="F12" t="str">
        <f t="shared" ca="1" si="3"/>
        <v>=MONTH(C1)</v>
      </c>
      <c r="N12">
        <v>2555</v>
      </c>
      <c r="R12" s="77">
        <v>923323744955</v>
      </c>
      <c r="T12" t="str">
        <f t="shared" si="0"/>
        <v>3323744955</v>
      </c>
      <c r="V12" t="str">
        <f t="shared" si="1"/>
        <v>03323744955</v>
      </c>
    </row>
    <row r="13" spans="1:26">
      <c r="C13">
        <f ca="1">YEAR(C1)</f>
        <v>2026</v>
      </c>
      <c r="F13" t="str">
        <f t="shared" ca="1" si="3"/>
        <v>=YEAR(C1)</v>
      </c>
      <c r="N13">
        <v>2558</v>
      </c>
      <c r="R13" s="77">
        <v>923323744956</v>
      </c>
      <c r="T13" t="str">
        <f t="shared" si="0"/>
        <v>3323744956</v>
      </c>
      <c r="V13" t="str">
        <f t="shared" si="1"/>
        <v>03323744956</v>
      </c>
    </row>
    <row r="14" spans="1:26">
      <c r="N14">
        <v>2561</v>
      </c>
      <c r="R14" s="77">
        <v>923323744957</v>
      </c>
      <c r="T14" t="str">
        <f t="shared" si="0"/>
        <v>3323744957</v>
      </c>
      <c r="V14" t="str">
        <f t="shared" si="1"/>
        <v>03323744957</v>
      </c>
    </row>
    <row r="15" spans="1:26">
      <c r="N15">
        <v>2564</v>
      </c>
      <c r="R15" s="77">
        <v>923323744958</v>
      </c>
      <c r="T15" t="str">
        <f t="shared" si="0"/>
        <v>3323744958</v>
      </c>
      <c r="V15" t="str">
        <f t="shared" si="1"/>
        <v>03323744958</v>
      </c>
    </row>
    <row r="16" spans="1:26">
      <c r="A16" t="s">
        <v>243</v>
      </c>
      <c r="C16">
        <f>POWER(5,2)</f>
        <v>25</v>
      </c>
      <c r="F16" t="str">
        <f t="shared" ref="F16:F21" ca="1" si="4">_xlfn.FORMULATEXT(C16)</f>
        <v>=POWER(5,2)</v>
      </c>
      <c r="N16">
        <v>2567</v>
      </c>
      <c r="R16" s="77">
        <v>923323744959</v>
      </c>
      <c r="T16" t="str">
        <f t="shared" si="0"/>
        <v>3323744959</v>
      </c>
      <c r="V16" t="str">
        <f t="shared" si="1"/>
        <v>03323744959</v>
      </c>
    </row>
    <row r="17" spans="1:22">
      <c r="A17" t="s">
        <v>244</v>
      </c>
      <c r="C17">
        <f>SQRT(5)</f>
        <v>2.2360679774997898</v>
      </c>
      <c r="F17" t="str">
        <f t="shared" ca="1" si="4"/>
        <v>=SQRT(5)</v>
      </c>
      <c r="N17">
        <v>2570</v>
      </c>
      <c r="R17" s="77">
        <v>923323744960</v>
      </c>
      <c r="T17" t="str">
        <f t="shared" si="0"/>
        <v>3323744960</v>
      </c>
      <c r="V17" t="str">
        <f t="shared" si="1"/>
        <v>03323744960</v>
      </c>
    </row>
    <row r="18" spans="1:22">
      <c r="A18" t="s">
        <v>245</v>
      </c>
      <c r="C18">
        <f>LOG(5,2)</f>
        <v>2.3219280948873622</v>
      </c>
      <c r="F18" t="str">
        <f t="shared" ca="1" si="4"/>
        <v>=LOG(5,2)</v>
      </c>
      <c r="N18">
        <v>2573</v>
      </c>
      <c r="R18" s="77">
        <v>923323744961</v>
      </c>
      <c r="T18" t="str">
        <f t="shared" si="0"/>
        <v>3323744961</v>
      </c>
      <c r="V18" t="str">
        <f t="shared" si="1"/>
        <v>03323744961</v>
      </c>
    </row>
    <row r="19" spans="1:22">
      <c r="N19">
        <v>2576</v>
      </c>
      <c r="R19" s="77">
        <v>923323744962</v>
      </c>
      <c r="T19" t="str">
        <f t="shared" si="0"/>
        <v>3323744962</v>
      </c>
      <c r="V19" t="str">
        <f t="shared" si="1"/>
        <v>03323744962</v>
      </c>
    </row>
    <row r="20" spans="1:22">
      <c r="A20" t="s">
        <v>247</v>
      </c>
      <c r="C20">
        <f ca="1">RAND()</f>
        <v>8.4193299801098576E-2</v>
      </c>
      <c r="F20" t="str">
        <f t="shared" ca="1" si="4"/>
        <v>=RAND()</v>
      </c>
      <c r="N20">
        <v>2579</v>
      </c>
      <c r="R20" s="77">
        <v>923323744963</v>
      </c>
      <c r="T20" t="str">
        <f t="shared" si="0"/>
        <v>3323744963</v>
      </c>
      <c r="V20" t="str">
        <f t="shared" si="1"/>
        <v>03323744963</v>
      </c>
    </row>
    <row r="21" spans="1:22">
      <c r="A21" t="s">
        <v>246</v>
      </c>
      <c r="C21">
        <f ca="1">RANDBETWEEN(1,50)</f>
        <v>9</v>
      </c>
      <c r="F21" t="str">
        <f t="shared" ca="1" si="4"/>
        <v>=RANDBETWEEN(1,50)</v>
      </c>
      <c r="N21">
        <v>2582</v>
      </c>
      <c r="R21" s="77">
        <v>923323744964</v>
      </c>
      <c r="T21" t="str">
        <f t="shared" si="0"/>
        <v>3323744964</v>
      </c>
      <c r="V21" t="str">
        <f t="shared" si="1"/>
        <v>03323744964</v>
      </c>
    </row>
    <row r="22" spans="1:22">
      <c r="N22">
        <v>2585</v>
      </c>
      <c r="R22" s="77">
        <v>923323744965</v>
      </c>
      <c r="T22" t="str">
        <f t="shared" si="0"/>
        <v>3323744965</v>
      </c>
      <c r="V22" t="str">
        <f t="shared" si="1"/>
        <v>03323744965</v>
      </c>
    </row>
    <row r="23" spans="1:22">
      <c r="A23" t="s">
        <v>9</v>
      </c>
      <c r="N23">
        <v>2588</v>
      </c>
      <c r="R23" s="77">
        <v>923323744966</v>
      </c>
      <c r="T23" t="str">
        <f t="shared" si="0"/>
        <v>3323744966</v>
      </c>
      <c r="V23" t="str">
        <f t="shared" si="1"/>
        <v>03323744966</v>
      </c>
    </row>
    <row r="24" spans="1:22">
      <c r="A24" t="s">
        <v>248</v>
      </c>
      <c r="C24" t="str">
        <f>CONCATENATE(A23," Is Good Boy")</f>
        <v>Asad Is Good Boy</v>
      </c>
      <c r="F24" t="str">
        <f t="shared" ref="F24" ca="1" si="5">_xlfn.FORMULATEXT(C24)</f>
        <v>=CONCATENATE(A23," Is Good Boy")</v>
      </c>
      <c r="N24">
        <v>2591</v>
      </c>
      <c r="R24" s="77">
        <v>923323744967</v>
      </c>
      <c r="T24" t="str">
        <f t="shared" si="0"/>
        <v>3323744967</v>
      </c>
      <c r="V24" t="str">
        <f t="shared" si="1"/>
        <v>03323744967</v>
      </c>
    </row>
    <row r="25" spans="1:22">
      <c r="N25">
        <v>2594</v>
      </c>
      <c r="R25" s="77">
        <v>923323744968</v>
      </c>
      <c r="T25" t="str">
        <f t="shared" si="0"/>
        <v>3323744968</v>
      </c>
      <c r="V25" t="str">
        <f>CONCATENATE("0",T25)</f>
        <v>03323744968</v>
      </c>
    </row>
    <row r="26" spans="1:22">
      <c r="A26" s="76">
        <v>923323744945</v>
      </c>
      <c r="N26">
        <v>2597</v>
      </c>
    </row>
    <row r="27" spans="1:22">
      <c r="A27" t="s">
        <v>251</v>
      </c>
      <c r="C27" t="str">
        <f>LEFT(A26,10)</f>
        <v>9233237449</v>
      </c>
    </row>
    <row r="28" spans="1:22">
      <c r="A28" t="s">
        <v>252</v>
      </c>
      <c r="C28" t="str">
        <f>RIGHT(A26,3)</f>
        <v>945</v>
      </c>
    </row>
    <row r="29" spans="1:22">
      <c r="A29" t="s">
        <v>253</v>
      </c>
      <c r="C29">
        <f>LEN(A26)</f>
        <v>12</v>
      </c>
    </row>
  </sheetData>
  <phoneticPr fontId="2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514A9-7C52-4612-A5ED-439CC8E7F0DA}">
  <dimension ref="A1:D7"/>
  <sheetViews>
    <sheetView workbookViewId="0">
      <selection activeCell="I13" sqref="I13"/>
    </sheetView>
  </sheetViews>
  <sheetFormatPr defaultRowHeight="15"/>
  <cols>
    <col min="1" max="1" width="17.42578125" customWidth="1"/>
  </cols>
  <sheetData>
    <row r="1" spans="1:4">
      <c r="A1" t="s">
        <v>256</v>
      </c>
      <c r="B1" t="s">
        <v>257</v>
      </c>
      <c r="C1" t="s">
        <v>258</v>
      </c>
    </row>
    <row r="2" spans="1:4">
      <c r="A2" t="s">
        <v>259</v>
      </c>
      <c r="B2" t="s">
        <v>260</v>
      </c>
    </row>
    <row r="3" spans="1:4">
      <c r="A3" t="s">
        <v>259</v>
      </c>
      <c r="B3" t="s">
        <v>261</v>
      </c>
      <c r="C3" t="s">
        <v>250</v>
      </c>
    </row>
    <row r="4" spans="1:4">
      <c r="A4" t="s">
        <v>261</v>
      </c>
      <c r="B4" t="s">
        <v>262</v>
      </c>
      <c r="C4" t="s">
        <v>263</v>
      </c>
      <c r="D4" t="s">
        <v>264</v>
      </c>
    </row>
    <row r="7" spans="1:4">
      <c r="A7" t="s">
        <v>265</v>
      </c>
      <c r="B7" t="s">
        <v>266</v>
      </c>
      <c r="C7">
        <v>3323744945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1038B-2DD9-4184-B76A-33D8740F0E25}">
  <dimension ref="A1:M26"/>
  <sheetViews>
    <sheetView showGridLines="0" topLeftCell="C1" workbookViewId="0">
      <selection activeCell="C6" sqref="C6"/>
    </sheetView>
  </sheetViews>
  <sheetFormatPr defaultColWidth="10.28515625" defaultRowHeight="15"/>
  <cols>
    <col min="1" max="1" width="5.5703125" style="31" customWidth="1"/>
    <col min="2" max="2" width="14.7109375" style="31" bestFit="1" customWidth="1"/>
    <col min="3" max="3" width="22.7109375" style="31" bestFit="1" customWidth="1"/>
    <col min="4" max="4" width="22.7109375" style="31" customWidth="1"/>
    <col min="5" max="5" width="13" style="31" customWidth="1"/>
    <col min="6" max="6" width="11.140625" style="31" bestFit="1" customWidth="1"/>
    <col min="7" max="7" width="15.7109375" style="31" bestFit="1" customWidth="1"/>
    <col min="8" max="8" width="5.5703125" style="31" customWidth="1"/>
    <col min="9" max="9" width="27.42578125" style="31" bestFit="1" customWidth="1"/>
    <col min="10" max="10" width="20.85546875" style="31" customWidth="1"/>
    <col min="11" max="11" width="13.5703125" style="31" customWidth="1"/>
    <col min="12" max="12" width="14" style="31" bestFit="1" customWidth="1"/>
    <col min="13" max="13" width="5.5703125" style="31" customWidth="1"/>
    <col min="14" max="16384" width="10.28515625" style="31"/>
  </cols>
  <sheetData>
    <row r="1" spans="1:13" ht="22.5">
      <c r="I1" s="32"/>
      <c r="J1" s="32"/>
    </row>
    <row r="2" spans="1:13" s="33" customFormat="1" ht="19.5">
      <c r="B2" s="96" t="s">
        <v>104</v>
      </c>
      <c r="C2" s="96"/>
      <c r="D2" s="96"/>
      <c r="E2" s="96"/>
      <c r="F2" s="96"/>
      <c r="G2" s="96"/>
      <c r="I2" s="97" t="s">
        <v>105</v>
      </c>
      <c r="J2" s="97"/>
      <c r="K2" s="97"/>
      <c r="L2" s="97"/>
      <c r="M2" s="34"/>
    </row>
    <row r="3" spans="1:13" s="35" customFormat="1" ht="30" customHeight="1">
      <c r="A3" s="35" t="s">
        <v>106</v>
      </c>
      <c r="B3" s="36" t="s">
        <v>107</v>
      </c>
      <c r="C3" s="37" t="s">
        <v>108</v>
      </c>
      <c r="D3" s="37" t="s">
        <v>109</v>
      </c>
      <c r="E3" s="37" t="s">
        <v>110</v>
      </c>
      <c r="F3" s="37" t="s">
        <v>111</v>
      </c>
      <c r="G3" s="37" t="s">
        <v>112</v>
      </c>
      <c r="H3" s="38"/>
      <c r="I3" s="37" t="s">
        <v>113</v>
      </c>
      <c r="J3" s="37" t="s">
        <v>109</v>
      </c>
      <c r="K3" s="37" t="s">
        <v>114</v>
      </c>
      <c r="L3" s="37" t="s">
        <v>115</v>
      </c>
    </row>
    <row r="4" spans="1:13" ht="21" customHeight="1">
      <c r="B4" s="39">
        <v>44652</v>
      </c>
      <c r="C4" s="40" t="s">
        <v>116</v>
      </c>
      <c r="D4" s="40" t="s">
        <v>117</v>
      </c>
      <c r="E4" s="41">
        <v>72</v>
      </c>
      <c r="F4" s="41">
        <v>34500</v>
      </c>
      <c r="G4" s="42"/>
      <c r="I4" s="43" t="s">
        <v>116</v>
      </c>
      <c r="J4" s="43" t="s">
        <v>117</v>
      </c>
      <c r="K4" s="44"/>
      <c r="L4" s="44"/>
    </row>
    <row r="5" spans="1:13" ht="21" customHeight="1">
      <c r="B5" s="39">
        <v>44656</v>
      </c>
      <c r="C5" s="40" t="s">
        <v>118</v>
      </c>
      <c r="D5" s="40" t="s">
        <v>119</v>
      </c>
      <c r="E5" s="41">
        <v>8</v>
      </c>
      <c r="F5" s="41">
        <v>52000</v>
      </c>
      <c r="G5" s="42"/>
      <c r="I5" s="43" t="s">
        <v>118</v>
      </c>
      <c r="J5" s="43" t="s">
        <v>117</v>
      </c>
      <c r="K5" s="44"/>
      <c r="L5" s="44"/>
    </row>
    <row r="6" spans="1:13" ht="21" customHeight="1">
      <c r="B6" s="39">
        <v>44659</v>
      </c>
      <c r="C6" s="40" t="s">
        <v>120</v>
      </c>
      <c r="D6" s="40" t="s">
        <v>121</v>
      </c>
      <c r="E6" s="41">
        <v>15</v>
      </c>
      <c r="F6" s="41">
        <v>1500</v>
      </c>
      <c r="G6" s="42"/>
      <c r="I6" s="43" t="s">
        <v>120</v>
      </c>
      <c r="J6" s="43" t="s">
        <v>117</v>
      </c>
      <c r="K6" s="44"/>
      <c r="L6" s="44"/>
    </row>
    <row r="7" spans="1:13" ht="21" customHeight="1">
      <c r="B7" s="39">
        <v>44661</v>
      </c>
      <c r="C7" s="40" t="s">
        <v>122</v>
      </c>
      <c r="D7" s="40" t="s">
        <v>117</v>
      </c>
      <c r="E7" s="41">
        <v>15</v>
      </c>
      <c r="F7" s="41">
        <v>1000</v>
      </c>
      <c r="G7" s="42"/>
      <c r="I7" s="43" t="s">
        <v>122</v>
      </c>
      <c r="J7" s="43" t="s">
        <v>117</v>
      </c>
      <c r="K7" s="44"/>
      <c r="L7" s="44"/>
    </row>
    <row r="8" spans="1:13" ht="21" customHeight="1">
      <c r="B8" s="39">
        <v>44686</v>
      </c>
      <c r="C8" s="40" t="s">
        <v>120</v>
      </c>
      <c r="D8" s="40" t="s">
        <v>119</v>
      </c>
      <c r="E8" s="41">
        <v>10</v>
      </c>
      <c r="F8" s="41">
        <f t="shared" ref="F8:F9" si="0">VLOOKUP(C8,$C$4:$F$10,3,0)</f>
        <v>15</v>
      </c>
      <c r="G8" s="42"/>
      <c r="I8" s="43" t="s">
        <v>123</v>
      </c>
      <c r="J8" s="43" t="s">
        <v>117</v>
      </c>
      <c r="K8" s="44"/>
      <c r="L8" s="44"/>
    </row>
    <row r="9" spans="1:13" ht="21" customHeight="1" thickBot="1">
      <c r="B9" s="39">
        <v>44689</v>
      </c>
      <c r="C9" s="40" t="s">
        <v>116</v>
      </c>
      <c r="D9" s="40" t="s">
        <v>121</v>
      </c>
      <c r="E9" s="41">
        <v>48</v>
      </c>
      <c r="F9" s="41">
        <f t="shared" si="0"/>
        <v>72</v>
      </c>
      <c r="G9" s="42"/>
      <c r="I9" s="45" t="s">
        <v>124</v>
      </c>
      <c r="J9" s="45"/>
      <c r="K9" s="45"/>
      <c r="L9" s="46"/>
    </row>
    <row r="10" spans="1:13" ht="21" customHeight="1" thickTop="1">
      <c r="B10" s="39">
        <v>44696</v>
      </c>
      <c r="C10" s="40" t="s">
        <v>123</v>
      </c>
      <c r="D10" s="40" t="s">
        <v>117</v>
      </c>
      <c r="E10" s="41">
        <v>8</v>
      </c>
      <c r="F10" s="41">
        <v>7450</v>
      </c>
      <c r="G10" s="42"/>
    </row>
    <row r="11" spans="1:13" ht="21" customHeight="1">
      <c r="B11" s="39">
        <v>44706</v>
      </c>
      <c r="C11" s="40" t="s">
        <v>118</v>
      </c>
      <c r="D11" s="40" t="s">
        <v>119</v>
      </c>
      <c r="E11" s="41">
        <v>15</v>
      </c>
      <c r="F11" s="41">
        <f>VLOOKUP(C11,$C$4:$F$10,3,0)</f>
        <v>8</v>
      </c>
      <c r="G11" s="42"/>
      <c r="I11" s="37" t="s">
        <v>113</v>
      </c>
      <c r="J11" s="37" t="s">
        <v>109</v>
      </c>
      <c r="K11" s="37" t="s">
        <v>114</v>
      </c>
      <c r="L11" s="37" t="s">
        <v>115</v>
      </c>
    </row>
    <row r="12" spans="1:13" ht="21" customHeight="1">
      <c r="B12" s="39">
        <v>44751</v>
      </c>
      <c r="C12" s="40" t="s">
        <v>120</v>
      </c>
      <c r="D12" s="40" t="s">
        <v>121</v>
      </c>
      <c r="E12" s="41">
        <v>20</v>
      </c>
      <c r="F12" s="41">
        <f t="shared" ref="F12:F23" si="1">VLOOKUP(C12,$C$4:$F$10,3,0)</f>
        <v>15</v>
      </c>
      <c r="G12" s="42"/>
      <c r="I12" s="43" t="s">
        <v>116</v>
      </c>
      <c r="J12" s="43" t="s">
        <v>119</v>
      </c>
      <c r="K12" s="44"/>
      <c r="L12" s="44"/>
    </row>
    <row r="13" spans="1:13" ht="21" customHeight="1">
      <c r="B13" s="39">
        <v>44752</v>
      </c>
      <c r="C13" s="40" t="s">
        <v>116</v>
      </c>
      <c r="D13" s="40" t="s">
        <v>117</v>
      </c>
      <c r="E13" s="41">
        <v>12</v>
      </c>
      <c r="F13" s="41">
        <f t="shared" si="1"/>
        <v>72</v>
      </c>
      <c r="G13" s="42"/>
      <c r="I13" s="43" t="s">
        <v>118</v>
      </c>
      <c r="J13" s="43" t="s">
        <v>119</v>
      </c>
      <c r="K13" s="44"/>
      <c r="L13" s="44"/>
    </row>
    <row r="14" spans="1:13" ht="21" customHeight="1">
      <c r="B14" s="39">
        <v>44753</v>
      </c>
      <c r="C14" s="40" t="s">
        <v>118</v>
      </c>
      <c r="D14" s="40" t="s">
        <v>119</v>
      </c>
      <c r="E14" s="41">
        <v>5</v>
      </c>
      <c r="F14" s="41">
        <f t="shared" si="1"/>
        <v>8</v>
      </c>
      <c r="G14" s="42"/>
      <c r="I14" s="43" t="s">
        <v>120</v>
      </c>
      <c r="J14" s="43" t="s">
        <v>119</v>
      </c>
      <c r="K14" s="44"/>
      <c r="L14" s="44"/>
    </row>
    <row r="15" spans="1:13" ht="21" customHeight="1">
      <c r="B15" s="39">
        <v>44785</v>
      </c>
      <c r="C15" s="40" t="s">
        <v>120</v>
      </c>
      <c r="D15" s="40" t="s">
        <v>121</v>
      </c>
      <c r="E15" s="41">
        <v>1</v>
      </c>
      <c r="F15" s="41">
        <f t="shared" si="1"/>
        <v>15</v>
      </c>
      <c r="G15" s="42"/>
      <c r="I15" s="43" t="s">
        <v>122</v>
      </c>
      <c r="J15" s="43" t="s">
        <v>119</v>
      </c>
      <c r="K15" s="44"/>
      <c r="L15" s="44"/>
    </row>
    <row r="16" spans="1:13" ht="21" customHeight="1">
      <c r="B16" s="39">
        <v>44822</v>
      </c>
      <c r="C16" s="40" t="s">
        <v>120</v>
      </c>
      <c r="D16" s="40" t="s">
        <v>117</v>
      </c>
      <c r="E16" s="41">
        <v>5</v>
      </c>
      <c r="F16" s="41">
        <f t="shared" si="1"/>
        <v>15</v>
      </c>
      <c r="G16" s="42"/>
      <c r="I16" s="43" t="s">
        <v>123</v>
      </c>
      <c r="J16" s="43" t="s">
        <v>119</v>
      </c>
      <c r="K16" s="44"/>
      <c r="L16" s="44"/>
    </row>
    <row r="17" spans="2:12" ht="21" customHeight="1" thickBot="1">
      <c r="B17" s="39">
        <v>44848</v>
      </c>
      <c r="C17" s="40" t="s">
        <v>116</v>
      </c>
      <c r="D17" s="40" t="s">
        <v>119</v>
      </c>
      <c r="E17" s="41">
        <v>18</v>
      </c>
      <c r="F17" s="41">
        <f t="shared" si="1"/>
        <v>72</v>
      </c>
      <c r="G17" s="42"/>
      <c r="I17" s="45" t="s">
        <v>124</v>
      </c>
      <c r="J17" s="45"/>
      <c r="K17" s="45"/>
      <c r="L17" s="46"/>
    </row>
    <row r="18" spans="2:12" ht="21" customHeight="1" thickTop="1">
      <c r="B18" s="39">
        <v>44880</v>
      </c>
      <c r="C18" s="40" t="s">
        <v>123</v>
      </c>
      <c r="D18" s="40" t="s">
        <v>121</v>
      </c>
      <c r="E18" s="41">
        <v>5</v>
      </c>
      <c r="F18" s="41">
        <f t="shared" si="1"/>
        <v>8</v>
      </c>
      <c r="G18" s="42"/>
    </row>
    <row r="19" spans="2:12" ht="21" customHeight="1">
      <c r="B19" s="39">
        <v>44921</v>
      </c>
      <c r="C19" s="40" t="s">
        <v>116</v>
      </c>
      <c r="D19" s="40" t="s">
        <v>117</v>
      </c>
      <c r="E19" s="41">
        <v>12</v>
      </c>
      <c r="F19" s="41">
        <f t="shared" si="1"/>
        <v>72</v>
      </c>
      <c r="G19" s="42"/>
      <c r="I19" s="37" t="s">
        <v>113</v>
      </c>
      <c r="J19" s="37" t="s">
        <v>109</v>
      </c>
      <c r="K19" s="37" t="s">
        <v>114</v>
      </c>
      <c r="L19" s="37" t="s">
        <v>115</v>
      </c>
    </row>
    <row r="20" spans="2:12" ht="21" customHeight="1">
      <c r="B20" s="39">
        <v>44943</v>
      </c>
      <c r="C20" s="40" t="s">
        <v>118</v>
      </c>
      <c r="D20" s="40" t="s">
        <v>119</v>
      </c>
      <c r="E20" s="41">
        <v>4</v>
      </c>
      <c r="F20" s="41">
        <f t="shared" si="1"/>
        <v>8</v>
      </c>
      <c r="G20" s="42"/>
      <c r="I20" s="43" t="s">
        <v>116</v>
      </c>
      <c r="J20" s="43" t="s">
        <v>121</v>
      </c>
      <c r="K20" s="44"/>
      <c r="L20" s="44"/>
    </row>
    <row r="21" spans="2:12" ht="21" customHeight="1">
      <c r="B21" s="39">
        <v>44975</v>
      </c>
      <c r="C21" s="40" t="s">
        <v>120</v>
      </c>
      <c r="D21" s="40" t="s">
        <v>121</v>
      </c>
      <c r="E21" s="41">
        <v>4</v>
      </c>
      <c r="F21" s="41">
        <f t="shared" si="1"/>
        <v>15</v>
      </c>
      <c r="G21" s="42"/>
      <c r="I21" s="43" t="s">
        <v>118</v>
      </c>
      <c r="J21" s="43" t="s">
        <v>121</v>
      </c>
      <c r="K21" s="44"/>
      <c r="L21" s="44"/>
    </row>
    <row r="22" spans="2:12" ht="21" customHeight="1">
      <c r="B22" s="39">
        <v>44995</v>
      </c>
      <c r="C22" s="40" t="s">
        <v>116</v>
      </c>
      <c r="D22" s="40" t="s">
        <v>119</v>
      </c>
      <c r="E22" s="41">
        <v>18</v>
      </c>
      <c r="F22" s="41">
        <f t="shared" si="1"/>
        <v>72</v>
      </c>
      <c r="G22" s="42"/>
      <c r="I22" s="43" t="s">
        <v>120</v>
      </c>
      <c r="J22" s="43" t="s">
        <v>121</v>
      </c>
      <c r="K22" s="44"/>
      <c r="L22" s="44"/>
    </row>
    <row r="23" spans="2:12" ht="21" customHeight="1">
      <c r="B23" s="39">
        <v>45000</v>
      </c>
      <c r="C23" s="40" t="s">
        <v>123</v>
      </c>
      <c r="D23" s="40" t="s">
        <v>121</v>
      </c>
      <c r="E23" s="41">
        <v>5</v>
      </c>
      <c r="F23" s="41">
        <f t="shared" si="1"/>
        <v>8</v>
      </c>
      <c r="G23" s="42"/>
      <c r="I23" s="43" t="s">
        <v>122</v>
      </c>
      <c r="J23" s="43" t="s">
        <v>121</v>
      </c>
      <c r="K23" s="44"/>
      <c r="L23" s="44"/>
    </row>
    <row r="24" spans="2:12" ht="21" customHeight="1" thickBot="1">
      <c r="B24" s="45"/>
      <c r="C24" s="45" t="s">
        <v>124</v>
      </c>
      <c r="D24" s="45"/>
      <c r="E24" s="46">
        <f>SUM(E4:E23)</f>
        <v>300</v>
      </c>
      <c r="F24" s="46"/>
      <c r="G24" s="46">
        <f>SUM(G4:G23)</f>
        <v>0</v>
      </c>
      <c r="I24" s="43" t="s">
        <v>123</v>
      </c>
      <c r="J24" s="43" t="s">
        <v>121</v>
      </c>
      <c r="K24" s="44"/>
      <c r="L24" s="44"/>
    </row>
    <row r="25" spans="2:12" ht="16.5" thickTop="1" thickBot="1">
      <c r="I25" s="45" t="s">
        <v>124</v>
      </c>
      <c r="J25" s="45"/>
      <c r="K25" s="45"/>
      <c r="L25" s="46"/>
    </row>
    <row r="26" spans="2:12" ht="15.75" thickTop="1"/>
  </sheetData>
  <mergeCells count="2">
    <mergeCell ref="B2:G2"/>
    <mergeCell ref="I2:L2"/>
  </mergeCells>
  <conditionalFormatting sqref="C8:C10">
    <cfRule type="duplicateValues" dxfId="5" priority="5"/>
  </conditionalFormatting>
  <conditionalFormatting sqref="C16:C18">
    <cfRule type="duplicateValues" dxfId="4" priority="4"/>
  </conditionalFormatting>
  <conditionalFormatting sqref="C22:C23">
    <cfRule type="duplicateValues" dxfId="3" priority="3"/>
  </conditionalFormatting>
  <conditionalFormatting sqref="I9:J9 I8">
    <cfRule type="duplicateValues" dxfId="2" priority="6"/>
  </conditionalFormatting>
  <conditionalFormatting sqref="I17:J17 I16">
    <cfRule type="duplicateValues" dxfId="1" priority="2"/>
  </conditionalFormatting>
  <conditionalFormatting sqref="I25:J25 I24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CDD1F-5BF4-4927-BF37-1FAE0208BE4F}">
  <dimension ref="A1:I19"/>
  <sheetViews>
    <sheetView workbookViewId="0">
      <selection activeCell="A16" sqref="A16"/>
    </sheetView>
  </sheetViews>
  <sheetFormatPr defaultRowHeight="15"/>
  <cols>
    <col min="6" max="6" width="16.7109375" customWidth="1"/>
  </cols>
  <sheetData>
    <row r="1" spans="1:9" ht="21.75" thickBot="1">
      <c r="A1" s="98" t="s">
        <v>126</v>
      </c>
      <c r="B1" s="98"/>
      <c r="C1" s="98"/>
      <c r="D1" s="50"/>
      <c r="E1" s="50"/>
      <c r="F1" s="99" t="s">
        <v>127</v>
      </c>
      <c r="G1" s="99"/>
      <c r="H1" s="99"/>
      <c r="I1" s="99"/>
    </row>
    <row r="2" spans="1:9">
      <c r="A2" s="50"/>
      <c r="B2" s="50"/>
      <c r="C2" s="50"/>
      <c r="D2" s="50"/>
      <c r="E2" s="50"/>
      <c r="F2" s="50"/>
      <c r="G2" s="50"/>
      <c r="H2" s="50"/>
      <c r="I2" s="50"/>
    </row>
    <row r="3" spans="1:9">
      <c r="A3" s="51" t="s">
        <v>75</v>
      </c>
      <c r="B3" s="52" t="s">
        <v>128</v>
      </c>
      <c r="C3" s="53" t="s">
        <v>129</v>
      </c>
      <c r="D3" s="50"/>
      <c r="E3" s="50"/>
      <c r="F3" s="54" t="s">
        <v>75</v>
      </c>
      <c r="G3" s="55" t="s">
        <v>130</v>
      </c>
      <c r="H3" s="55" t="s">
        <v>129</v>
      </c>
      <c r="I3" s="56" t="s">
        <v>128</v>
      </c>
    </row>
    <row r="4" spans="1:9">
      <c r="A4" s="50">
        <v>110608</v>
      </c>
      <c r="B4" s="50" t="s">
        <v>131</v>
      </c>
      <c r="C4" s="50" t="s">
        <v>132</v>
      </c>
      <c r="D4" s="50"/>
      <c r="E4" s="50"/>
      <c r="F4" s="50">
        <v>990678</v>
      </c>
      <c r="G4" s="57">
        <v>84289</v>
      </c>
      <c r="H4" s="58"/>
      <c r="I4" s="58"/>
    </row>
    <row r="5" spans="1:9">
      <c r="A5" s="50">
        <v>253072</v>
      </c>
      <c r="B5" s="50" t="s">
        <v>133</v>
      </c>
      <c r="C5" s="50" t="s">
        <v>134</v>
      </c>
      <c r="D5" s="50"/>
      <c r="E5" s="50"/>
      <c r="F5" s="50">
        <v>830385</v>
      </c>
      <c r="G5" s="57">
        <v>137670</v>
      </c>
      <c r="H5" s="58"/>
      <c r="I5" s="58"/>
    </row>
    <row r="6" spans="1:9">
      <c r="A6" s="50">
        <v>352711</v>
      </c>
      <c r="B6" s="50" t="s">
        <v>135</v>
      </c>
      <c r="C6" s="50" t="s">
        <v>132</v>
      </c>
      <c r="D6" s="50"/>
      <c r="E6" s="50"/>
      <c r="F6" s="50">
        <v>795574</v>
      </c>
      <c r="G6" s="57">
        <v>190024</v>
      </c>
      <c r="H6" s="58"/>
      <c r="I6" s="58"/>
    </row>
    <row r="7" spans="1:9">
      <c r="A7" s="50">
        <v>391006</v>
      </c>
      <c r="B7" s="50" t="s">
        <v>136</v>
      </c>
      <c r="C7" s="50" t="s">
        <v>137</v>
      </c>
      <c r="D7" s="50"/>
      <c r="E7" s="50"/>
      <c r="F7" s="50">
        <v>580622</v>
      </c>
      <c r="G7" s="57">
        <v>122604</v>
      </c>
      <c r="H7" s="58"/>
      <c r="I7" s="58"/>
    </row>
    <row r="8" spans="1:9">
      <c r="A8" s="50">
        <v>392128</v>
      </c>
      <c r="B8" s="50" t="s">
        <v>138</v>
      </c>
      <c r="C8" s="50" t="s">
        <v>139</v>
      </c>
      <c r="D8" s="50"/>
      <c r="E8" s="50"/>
      <c r="F8" s="50">
        <v>549457</v>
      </c>
      <c r="G8" s="57">
        <v>111709</v>
      </c>
      <c r="H8" s="58"/>
      <c r="I8" s="58"/>
    </row>
    <row r="9" spans="1:9">
      <c r="A9" s="50">
        <v>549457</v>
      </c>
      <c r="B9" s="50" t="s">
        <v>140</v>
      </c>
      <c r="C9" s="50" t="s">
        <v>132</v>
      </c>
      <c r="D9" s="50"/>
      <c r="E9" s="50"/>
      <c r="F9" s="50">
        <v>392128</v>
      </c>
      <c r="G9" s="57">
        <v>85931</v>
      </c>
      <c r="H9" s="58"/>
      <c r="I9" s="58"/>
    </row>
    <row r="10" spans="1:9">
      <c r="A10" s="50">
        <v>580622</v>
      </c>
      <c r="B10" s="50" t="s">
        <v>141</v>
      </c>
      <c r="C10" s="50" t="s">
        <v>142</v>
      </c>
      <c r="D10" s="50"/>
      <c r="E10" s="50"/>
      <c r="F10" s="50">
        <v>391006</v>
      </c>
      <c r="G10" s="57">
        <v>168114</v>
      </c>
      <c r="H10" s="58"/>
      <c r="I10" s="58"/>
    </row>
    <row r="11" spans="1:9">
      <c r="A11" s="50">
        <v>602693</v>
      </c>
      <c r="B11" s="50" t="s">
        <v>143</v>
      </c>
      <c r="C11" s="50" t="s">
        <v>144</v>
      </c>
      <c r="D11" s="50"/>
      <c r="E11" s="50"/>
      <c r="F11" s="50">
        <v>352711</v>
      </c>
      <c r="G11" s="57">
        <v>89627</v>
      </c>
      <c r="H11" s="58"/>
      <c r="I11" s="58"/>
    </row>
    <row r="12" spans="1:9">
      <c r="A12" s="50">
        <v>611810</v>
      </c>
      <c r="B12" s="50" t="s">
        <v>145</v>
      </c>
      <c r="C12" s="50" t="s">
        <v>146</v>
      </c>
      <c r="D12" s="50"/>
      <c r="E12" s="50"/>
      <c r="F12" s="50">
        <v>253072</v>
      </c>
      <c r="G12" s="57">
        <v>149946</v>
      </c>
      <c r="H12" s="58"/>
      <c r="I12" s="58"/>
    </row>
    <row r="13" spans="1:9">
      <c r="A13" s="50">
        <v>612235</v>
      </c>
      <c r="B13" s="50" t="s">
        <v>147</v>
      </c>
      <c r="C13" s="50" t="s">
        <v>144</v>
      </c>
      <c r="D13" s="50"/>
      <c r="E13" s="50"/>
      <c r="F13" s="50">
        <v>612235</v>
      </c>
      <c r="G13" s="57">
        <v>145893</v>
      </c>
      <c r="H13" s="58"/>
      <c r="I13" s="58"/>
    </row>
    <row r="14" spans="1:9">
      <c r="A14" s="50">
        <v>795574</v>
      </c>
      <c r="B14" s="50" t="s">
        <v>148</v>
      </c>
      <c r="C14" s="50" t="s">
        <v>149</v>
      </c>
      <c r="D14" s="50"/>
      <c r="E14" s="50"/>
      <c r="F14" s="50">
        <v>611810</v>
      </c>
      <c r="G14" s="57">
        <v>64757</v>
      </c>
      <c r="H14" s="58"/>
      <c r="I14" s="58"/>
    </row>
    <row r="15" spans="1:9">
      <c r="A15" s="50">
        <v>830385</v>
      </c>
      <c r="B15" s="50" t="s">
        <v>150</v>
      </c>
      <c r="C15" s="50" t="s">
        <v>151</v>
      </c>
      <c r="D15" s="50"/>
      <c r="E15" s="50"/>
      <c r="F15" s="50">
        <v>602693</v>
      </c>
      <c r="G15" s="57">
        <v>71478</v>
      </c>
      <c r="H15" s="58"/>
      <c r="I15" s="58"/>
    </row>
    <row r="16" spans="1:9">
      <c r="A16" s="50">
        <v>990678</v>
      </c>
      <c r="B16" s="50" t="s">
        <v>152</v>
      </c>
      <c r="C16" s="50" t="s">
        <v>153</v>
      </c>
      <c r="D16" s="50"/>
      <c r="E16" s="50"/>
      <c r="F16" s="50">
        <v>110608</v>
      </c>
      <c r="G16" s="57">
        <v>131505</v>
      </c>
      <c r="H16" s="58"/>
      <c r="I16" s="58"/>
    </row>
    <row r="19" spans="6:6">
      <c r="F19" t="s">
        <v>154</v>
      </c>
    </row>
  </sheetData>
  <mergeCells count="2">
    <mergeCell ref="A1:C1"/>
    <mergeCell ref="F1:I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0C1BD-12CA-443C-9456-6409574BAB07}">
  <dimension ref="A1:K32"/>
  <sheetViews>
    <sheetView workbookViewId="0">
      <selection activeCell="H7" sqref="H7"/>
    </sheetView>
  </sheetViews>
  <sheetFormatPr defaultRowHeight="15"/>
  <cols>
    <col min="1" max="1" width="12.140625" bestFit="1" customWidth="1"/>
    <col min="2" max="2" width="10.42578125" bestFit="1" customWidth="1"/>
    <col min="3" max="3" width="10.5703125" bestFit="1" customWidth="1"/>
    <col min="6" max="6" width="12.140625" bestFit="1" customWidth="1"/>
    <col min="7" max="7" width="9.28515625" bestFit="1" customWidth="1"/>
    <col min="8" max="8" width="10.5703125" bestFit="1" customWidth="1"/>
    <col min="9" max="9" width="10.140625" bestFit="1" customWidth="1"/>
    <col min="10" max="10" width="10.42578125" bestFit="1" customWidth="1"/>
  </cols>
  <sheetData>
    <row r="1" spans="1:11">
      <c r="A1" s="100" t="s">
        <v>155</v>
      </c>
      <c r="B1" s="100"/>
      <c r="C1" s="100"/>
      <c r="D1" s="50"/>
      <c r="E1" s="50"/>
      <c r="F1" s="59" t="s">
        <v>75</v>
      </c>
      <c r="G1" s="59" t="s">
        <v>130</v>
      </c>
      <c r="H1" s="59" t="s">
        <v>129</v>
      </c>
      <c r="I1" s="59" t="s">
        <v>128</v>
      </c>
      <c r="J1" s="59" t="s">
        <v>109</v>
      </c>
      <c r="K1" s="59" t="s">
        <v>156</v>
      </c>
    </row>
    <row r="2" spans="1:11">
      <c r="A2" s="51" t="s">
        <v>75</v>
      </c>
      <c r="B2" s="52" t="s">
        <v>128</v>
      </c>
      <c r="C2" s="53" t="s">
        <v>129</v>
      </c>
      <c r="D2" s="50"/>
      <c r="E2" s="50"/>
      <c r="F2" s="60">
        <v>990678</v>
      </c>
      <c r="G2" s="61">
        <v>84289</v>
      </c>
      <c r="H2" s="61"/>
      <c r="I2" s="62"/>
      <c r="J2" s="62"/>
      <c r="K2" s="11"/>
    </row>
    <row r="3" spans="1:11">
      <c r="A3" s="50">
        <v>110608</v>
      </c>
      <c r="B3" s="50" t="s">
        <v>131</v>
      </c>
      <c r="C3" s="50" t="s">
        <v>132</v>
      </c>
      <c r="D3" s="50"/>
      <c r="E3" s="50"/>
      <c r="F3" s="60">
        <v>830385</v>
      </c>
      <c r="G3" s="61">
        <v>137670</v>
      </c>
      <c r="H3" s="61"/>
      <c r="I3" s="62"/>
      <c r="J3" s="62"/>
      <c r="K3" s="11"/>
    </row>
    <row r="4" spans="1:11">
      <c r="A4" s="50">
        <v>253072</v>
      </c>
      <c r="B4" s="50" t="s">
        <v>133</v>
      </c>
      <c r="C4" s="50" t="s">
        <v>134</v>
      </c>
      <c r="D4" s="50"/>
      <c r="E4" s="50"/>
      <c r="F4" s="60">
        <v>795574</v>
      </c>
      <c r="G4" s="61">
        <v>190024</v>
      </c>
      <c r="H4" s="61"/>
      <c r="I4" s="62"/>
      <c r="J4" s="62"/>
      <c r="K4" s="11"/>
    </row>
    <row r="5" spans="1:11">
      <c r="A5" s="50">
        <v>352711</v>
      </c>
      <c r="B5" s="50" t="s">
        <v>135</v>
      </c>
      <c r="C5" s="50" t="s">
        <v>132</v>
      </c>
      <c r="D5" s="50"/>
      <c r="E5" s="50"/>
      <c r="F5" s="60">
        <v>580622</v>
      </c>
      <c r="G5" s="61">
        <v>122604</v>
      </c>
      <c r="H5" s="61"/>
      <c r="I5" s="62"/>
      <c r="J5" s="62"/>
      <c r="K5" s="11"/>
    </row>
    <row r="6" spans="1:11">
      <c r="A6" s="50">
        <v>391006</v>
      </c>
      <c r="B6" s="50" t="s">
        <v>136</v>
      </c>
      <c r="C6" s="50" t="s">
        <v>137</v>
      </c>
      <c r="D6" s="50"/>
      <c r="E6" s="50"/>
      <c r="F6" s="60">
        <v>549457</v>
      </c>
      <c r="G6" s="61">
        <v>111709</v>
      </c>
      <c r="H6" s="61"/>
      <c r="I6" s="62"/>
      <c r="J6" s="62"/>
      <c r="K6" s="11"/>
    </row>
    <row r="7" spans="1:11">
      <c r="A7" s="50">
        <v>392128</v>
      </c>
      <c r="B7" s="50" t="s">
        <v>138</v>
      </c>
      <c r="C7" s="50" t="s">
        <v>139</v>
      </c>
      <c r="D7" s="50"/>
      <c r="E7" s="50"/>
      <c r="F7" s="60">
        <v>392128</v>
      </c>
      <c r="G7" s="61">
        <v>85931</v>
      </c>
      <c r="H7" s="61"/>
      <c r="I7" s="62"/>
      <c r="J7" s="62"/>
      <c r="K7" s="11"/>
    </row>
    <row r="8" spans="1:11">
      <c r="A8" s="50">
        <v>549457</v>
      </c>
      <c r="B8" s="50" t="s">
        <v>140</v>
      </c>
      <c r="C8" s="50" t="s">
        <v>132</v>
      </c>
      <c r="D8" s="50"/>
      <c r="E8" s="50"/>
      <c r="F8" s="60">
        <v>391006</v>
      </c>
      <c r="G8" s="61">
        <v>168114</v>
      </c>
      <c r="H8" s="61"/>
      <c r="I8" s="62"/>
      <c r="J8" s="62"/>
      <c r="K8" s="11"/>
    </row>
    <row r="9" spans="1:11">
      <c r="A9" s="50">
        <v>580622</v>
      </c>
      <c r="B9" s="50" t="s">
        <v>141</v>
      </c>
      <c r="C9" s="50" t="s">
        <v>142</v>
      </c>
      <c r="D9" s="50"/>
      <c r="E9" s="50"/>
      <c r="F9" s="60">
        <v>352711</v>
      </c>
      <c r="G9" s="61">
        <v>89627</v>
      </c>
      <c r="H9" s="61"/>
      <c r="I9" s="62"/>
      <c r="J9" s="62"/>
      <c r="K9" s="11"/>
    </row>
    <row r="10" spans="1:11">
      <c r="A10" s="50">
        <v>602693</v>
      </c>
      <c r="B10" s="50" t="s">
        <v>143</v>
      </c>
      <c r="C10" s="50" t="s">
        <v>144</v>
      </c>
      <c r="D10" s="50"/>
      <c r="E10" s="50"/>
      <c r="F10" s="60">
        <v>253072</v>
      </c>
      <c r="G10" s="61">
        <v>149946</v>
      </c>
      <c r="H10" s="61"/>
      <c r="I10" s="62"/>
      <c r="J10" s="62"/>
      <c r="K10" s="11"/>
    </row>
    <row r="11" spans="1:11">
      <c r="A11" s="50">
        <v>611810</v>
      </c>
      <c r="B11" s="50" t="s">
        <v>145</v>
      </c>
      <c r="C11" s="50" t="s">
        <v>146</v>
      </c>
      <c r="D11" s="50"/>
      <c r="E11" s="50"/>
      <c r="F11" s="60">
        <v>612235</v>
      </c>
      <c r="G11" s="61">
        <v>145893</v>
      </c>
      <c r="H11" s="61"/>
      <c r="I11" s="62"/>
      <c r="J11" s="62"/>
      <c r="K11" s="11"/>
    </row>
    <row r="12" spans="1:11">
      <c r="A12" s="50">
        <v>612235</v>
      </c>
      <c r="B12" s="50" t="s">
        <v>147</v>
      </c>
      <c r="C12" s="50" t="s">
        <v>144</v>
      </c>
      <c r="D12" s="50"/>
      <c r="E12" s="50"/>
      <c r="F12" s="60">
        <v>611810</v>
      </c>
      <c r="G12" s="61">
        <v>64757</v>
      </c>
      <c r="H12" s="61"/>
      <c r="I12" s="62"/>
      <c r="J12" s="62"/>
      <c r="K12" s="11"/>
    </row>
    <row r="13" spans="1:11">
      <c r="A13" s="50">
        <v>795574</v>
      </c>
      <c r="B13" s="50" t="s">
        <v>148</v>
      </c>
      <c r="C13" s="50" t="s">
        <v>149</v>
      </c>
      <c r="D13" s="50"/>
      <c r="E13" s="50"/>
      <c r="F13" s="60">
        <v>602693</v>
      </c>
      <c r="G13" s="61">
        <v>71478</v>
      </c>
      <c r="H13" s="61"/>
      <c r="I13" s="62"/>
      <c r="J13" s="62"/>
      <c r="K13" s="11"/>
    </row>
    <row r="14" spans="1:11">
      <c r="A14" s="50">
        <v>830385</v>
      </c>
      <c r="B14" s="50" t="s">
        <v>150</v>
      </c>
      <c r="C14" s="50" t="s">
        <v>151</v>
      </c>
      <c r="D14" s="50"/>
      <c r="E14" s="50"/>
      <c r="F14" s="60">
        <v>110608</v>
      </c>
      <c r="G14" s="61">
        <v>131505</v>
      </c>
      <c r="H14" s="61"/>
      <c r="I14" s="62"/>
      <c r="J14" s="62"/>
      <c r="K14" s="11"/>
    </row>
    <row r="15" spans="1:11">
      <c r="A15" s="50">
        <v>990678</v>
      </c>
      <c r="B15" s="50" t="s">
        <v>152</v>
      </c>
      <c r="C15" s="50" t="s">
        <v>153</v>
      </c>
      <c r="D15" s="50"/>
      <c r="E15" s="50"/>
      <c r="F15" s="50"/>
      <c r="G15" s="50"/>
      <c r="H15" s="50"/>
      <c r="I15" s="50"/>
      <c r="J15" s="50"/>
    </row>
    <row r="16" spans="1:11">
      <c r="A16" s="50"/>
      <c r="B16" s="50"/>
      <c r="C16" s="50"/>
      <c r="D16" s="50"/>
      <c r="E16" s="50"/>
      <c r="F16" s="50"/>
      <c r="G16" s="50"/>
      <c r="H16" s="50"/>
      <c r="I16" s="50"/>
      <c r="J16" s="50"/>
    </row>
    <row r="17" spans="1:10">
      <c r="A17" s="50"/>
      <c r="B17" s="50"/>
      <c r="C17" s="50"/>
      <c r="D17" s="50"/>
      <c r="E17" s="50"/>
      <c r="F17" s="50" t="s">
        <v>157</v>
      </c>
      <c r="G17" s="50"/>
      <c r="H17" s="50"/>
      <c r="I17" s="50"/>
      <c r="J17" s="50"/>
    </row>
    <row r="18" spans="1:10">
      <c r="A18" s="100" t="s">
        <v>158</v>
      </c>
      <c r="B18" s="100"/>
      <c r="C18" s="100"/>
      <c r="D18" s="50"/>
      <c r="E18" s="50"/>
      <c r="F18" s="50"/>
      <c r="G18" s="50"/>
      <c r="H18" s="50"/>
      <c r="I18" s="50"/>
      <c r="J18" s="50"/>
    </row>
    <row r="19" spans="1:10">
      <c r="A19" s="51" t="s">
        <v>75</v>
      </c>
      <c r="B19" s="52" t="s">
        <v>109</v>
      </c>
      <c r="C19" s="53" t="s">
        <v>156</v>
      </c>
      <c r="D19" s="50"/>
      <c r="E19" s="50"/>
      <c r="F19" s="50"/>
      <c r="G19" s="50"/>
      <c r="H19" s="50"/>
      <c r="I19" s="50"/>
      <c r="J19" s="50"/>
    </row>
    <row r="20" spans="1:10">
      <c r="A20" s="50">
        <v>110608</v>
      </c>
      <c r="B20" s="50" t="s">
        <v>159</v>
      </c>
      <c r="C20" s="50" t="s">
        <v>160</v>
      </c>
      <c r="D20" s="50"/>
      <c r="E20" s="50"/>
      <c r="F20" s="50"/>
      <c r="G20" s="50"/>
      <c r="H20" s="50"/>
      <c r="I20" s="50"/>
      <c r="J20" s="50"/>
    </row>
    <row r="21" spans="1:10">
      <c r="A21" s="50">
        <v>253072</v>
      </c>
      <c r="B21" s="50" t="s">
        <v>161</v>
      </c>
      <c r="C21" s="50" t="s">
        <v>162</v>
      </c>
      <c r="D21" s="50"/>
      <c r="E21" s="50"/>
      <c r="F21" s="50"/>
      <c r="G21" s="50"/>
      <c r="H21" s="50"/>
      <c r="I21" s="50"/>
      <c r="J21" s="50"/>
    </row>
    <row r="22" spans="1:10">
      <c r="A22" s="50">
        <v>352711</v>
      </c>
      <c r="B22" s="50" t="s">
        <v>163</v>
      </c>
      <c r="C22" s="50" t="s">
        <v>164</v>
      </c>
      <c r="D22" s="50"/>
      <c r="E22" s="50"/>
      <c r="F22" s="50"/>
      <c r="G22" s="50"/>
      <c r="H22" s="50"/>
      <c r="I22" s="50"/>
      <c r="J22" s="50"/>
    </row>
    <row r="23" spans="1:10">
      <c r="A23" s="50">
        <v>391006</v>
      </c>
      <c r="B23" s="50" t="s">
        <v>161</v>
      </c>
      <c r="C23" s="50" t="s">
        <v>162</v>
      </c>
      <c r="D23" s="50"/>
      <c r="E23" s="50"/>
      <c r="F23" s="50"/>
      <c r="G23" s="50"/>
      <c r="H23" s="50"/>
      <c r="I23" s="50"/>
      <c r="J23" s="50"/>
    </row>
    <row r="24" spans="1:10">
      <c r="A24" s="50">
        <v>392128</v>
      </c>
      <c r="B24" s="50" t="s">
        <v>161</v>
      </c>
      <c r="C24" s="50" t="s">
        <v>162</v>
      </c>
      <c r="D24" s="50"/>
      <c r="E24" s="50"/>
      <c r="F24" s="50"/>
      <c r="G24" s="50"/>
      <c r="H24" s="50"/>
      <c r="I24" s="50"/>
      <c r="J24" s="50"/>
    </row>
    <row r="25" spans="1:10">
      <c r="A25" s="50">
        <v>549457</v>
      </c>
      <c r="B25" s="50" t="s">
        <v>163</v>
      </c>
      <c r="C25" s="50" t="s">
        <v>164</v>
      </c>
      <c r="D25" s="50"/>
      <c r="E25" s="50"/>
      <c r="F25" s="50"/>
      <c r="G25" s="50"/>
      <c r="H25" s="50"/>
      <c r="I25" s="50"/>
      <c r="J25" s="50"/>
    </row>
    <row r="26" spans="1:10">
      <c r="A26" s="50">
        <v>580622</v>
      </c>
      <c r="B26" s="50" t="s">
        <v>159</v>
      </c>
      <c r="C26" s="50" t="s">
        <v>160</v>
      </c>
      <c r="D26" s="50"/>
      <c r="E26" s="50"/>
      <c r="F26" s="50"/>
      <c r="G26" s="50"/>
      <c r="H26" s="50"/>
      <c r="I26" s="50"/>
      <c r="J26" s="50"/>
    </row>
    <row r="27" spans="1:10">
      <c r="A27" s="50">
        <v>602693</v>
      </c>
      <c r="B27" s="50" t="s">
        <v>163</v>
      </c>
      <c r="C27" s="50" t="s">
        <v>164</v>
      </c>
      <c r="D27" s="50"/>
      <c r="E27" s="50"/>
      <c r="F27" s="50"/>
      <c r="G27" s="50"/>
      <c r="H27" s="50"/>
      <c r="I27" s="50"/>
      <c r="J27" s="50"/>
    </row>
    <row r="28" spans="1:10">
      <c r="A28" s="50">
        <v>611810</v>
      </c>
      <c r="B28" s="50" t="s">
        <v>165</v>
      </c>
      <c r="C28" s="50" t="s">
        <v>166</v>
      </c>
      <c r="D28" s="50"/>
      <c r="E28" s="50"/>
      <c r="F28" s="50"/>
      <c r="G28" s="50"/>
      <c r="H28" s="50"/>
      <c r="I28" s="50"/>
      <c r="J28" s="50"/>
    </row>
    <row r="29" spans="1:10">
      <c r="A29" s="50">
        <v>612235</v>
      </c>
      <c r="B29" s="50" t="s">
        <v>163</v>
      </c>
      <c r="C29" s="50" t="s">
        <v>164</v>
      </c>
      <c r="D29" s="50"/>
      <c r="E29" s="50"/>
      <c r="F29" s="50"/>
      <c r="G29" s="50"/>
      <c r="H29" s="50"/>
      <c r="I29" s="50"/>
      <c r="J29" s="50"/>
    </row>
    <row r="30" spans="1:10">
      <c r="A30" s="50">
        <v>795574</v>
      </c>
      <c r="B30" s="50" t="s">
        <v>165</v>
      </c>
      <c r="C30" s="50" t="s">
        <v>166</v>
      </c>
      <c r="D30" s="50"/>
      <c r="E30" s="50"/>
      <c r="F30" s="50"/>
      <c r="G30" s="50"/>
      <c r="H30" s="50"/>
      <c r="I30" s="50"/>
      <c r="J30" s="50"/>
    </row>
    <row r="31" spans="1:10">
      <c r="A31" s="50">
        <v>830385</v>
      </c>
      <c r="B31" s="50" t="s">
        <v>161</v>
      </c>
      <c r="C31" s="50" t="s">
        <v>162</v>
      </c>
      <c r="D31" s="50"/>
      <c r="E31" s="50"/>
      <c r="F31" s="50"/>
      <c r="G31" s="50"/>
      <c r="H31" s="50"/>
      <c r="I31" s="50"/>
      <c r="J31" s="50"/>
    </row>
    <row r="32" spans="1:10">
      <c r="A32" s="50">
        <v>990678</v>
      </c>
      <c r="B32" s="50" t="s">
        <v>165</v>
      </c>
      <c r="C32" s="50" t="s">
        <v>166</v>
      </c>
      <c r="D32" s="50"/>
      <c r="E32" s="50"/>
      <c r="F32" s="50"/>
      <c r="G32" s="50"/>
      <c r="H32" s="50"/>
      <c r="I32" s="50"/>
      <c r="J32" s="50"/>
    </row>
  </sheetData>
  <mergeCells count="2">
    <mergeCell ref="A1:C1"/>
    <mergeCell ref="A18:C1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0E069-43B5-4BAA-ACBE-590065BD7F1B}">
  <dimension ref="A1:N16"/>
  <sheetViews>
    <sheetView workbookViewId="0">
      <selection activeCell="G4" sqref="G4"/>
    </sheetView>
  </sheetViews>
  <sheetFormatPr defaultRowHeight="15"/>
  <cols>
    <col min="1" max="1" width="9.28515625" bestFit="1" customWidth="1"/>
    <col min="2" max="2" width="11.28515625" customWidth="1"/>
    <col min="5" max="5" width="12.140625" bestFit="1" customWidth="1"/>
    <col min="13" max="13" width="11.7109375" bestFit="1" customWidth="1"/>
  </cols>
  <sheetData>
    <row r="1" spans="1:14" ht="21">
      <c r="A1" s="101" t="s">
        <v>167</v>
      </c>
      <c r="B1" s="101"/>
      <c r="C1" s="50"/>
      <c r="D1" s="50"/>
      <c r="E1" s="102" t="s">
        <v>127</v>
      </c>
      <c r="F1" s="102"/>
      <c r="G1" s="102"/>
    </row>
    <row r="2" spans="1:14">
      <c r="A2" s="60"/>
      <c r="B2" s="60"/>
      <c r="C2" s="50"/>
      <c r="D2" s="50"/>
      <c r="E2" s="60"/>
      <c r="F2" s="60"/>
      <c r="G2" s="60"/>
    </row>
    <row r="3" spans="1:14">
      <c r="A3" s="63" t="s">
        <v>168</v>
      </c>
      <c r="B3" s="63" t="s">
        <v>169</v>
      </c>
      <c r="C3" s="50"/>
      <c r="D3" s="50"/>
      <c r="E3" s="59" t="s">
        <v>75</v>
      </c>
      <c r="F3" s="59" t="s">
        <v>130</v>
      </c>
      <c r="G3" s="59" t="s">
        <v>169</v>
      </c>
    </row>
    <row r="4" spans="1:14">
      <c r="A4" s="61">
        <v>25000</v>
      </c>
      <c r="B4" s="60" t="s">
        <v>170</v>
      </c>
      <c r="C4" s="50"/>
      <c r="D4" s="50"/>
      <c r="E4" s="60">
        <v>990678</v>
      </c>
      <c r="F4" s="61">
        <v>84289</v>
      </c>
      <c r="G4" s="62"/>
    </row>
    <row r="5" spans="1:14">
      <c r="A5" s="61">
        <v>50000</v>
      </c>
      <c r="B5" s="60" t="s">
        <v>171</v>
      </c>
      <c r="C5" s="50"/>
      <c r="D5" s="50"/>
      <c r="E5" s="60">
        <v>830385</v>
      </c>
      <c r="F5" s="61">
        <v>137670</v>
      </c>
      <c r="G5" s="62"/>
    </row>
    <row r="6" spans="1:14">
      <c r="A6" s="61">
        <v>75000</v>
      </c>
      <c r="B6" s="60" t="s">
        <v>172</v>
      </c>
      <c r="C6" s="50"/>
      <c r="D6" s="50"/>
      <c r="E6" s="60">
        <v>795574</v>
      </c>
      <c r="F6" s="61">
        <v>190024</v>
      </c>
      <c r="G6" s="62"/>
    </row>
    <row r="7" spans="1:14">
      <c r="A7" s="61">
        <v>100000</v>
      </c>
      <c r="B7" s="60" t="s">
        <v>173</v>
      </c>
      <c r="C7" s="50"/>
      <c r="D7" s="50"/>
      <c r="E7" s="60">
        <v>580622</v>
      </c>
      <c r="F7" s="61">
        <v>122604</v>
      </c>
      <c r="G7" s="62"/>
    </row>
    <row r="8" spans="1:14">
      <c r="A8" s="61">
        <v>150000</v>
      </c>
      <c r="B8" s="60" t="s">
        <v>174</v>
      </c>
      <c r="C8" s="50"/>
      <c r="D8" s="50"/>
      <c r="E8" s="60">
        <v>549457</v>
      </c>
      <c r="F8" s="61">
        <v>111709</v>
      </c>
      <c r="G8" s="62"/>
      <c r="M8" s="64"/>
      <c r="N8" s="65"/>
    </row>
    <row r="9" spans="1:14">
      <c r="A9" s="50"/>
      <c r="B9" s="50"/>
      <c r="C9" s="50"/>
      <c r="D9" s="50"/>
      <c r="E9" s="60">
        <v>392128</v>
      </c>
      <c r="F9" s="61">
        <v>85931</v>
      </c>
      <c r="G9" s="62"/>
      <c r="M9" s="64"/>
      <c r="N9" s="65"/>
    </row>
    <row r="10" spans="1:14">
      <c r="A10" s="50"/>
      <c r="B10" s="50"/>
      <c r="C10" s="50"/>
      <c r="D10" s="50"/>
      <c r="E10" s="60">
        <v>391006</v>
      </c>
      <c r="F10" s="61">
        <v>168114</v>
      </c>
      <c r="G10" s="62"/>
    </row>
    <row r="11" spans="1:14">
      <c r="A11" s="50"/>
      <c r="B11" s="50"/>
      <c r="C11" s="50"/>
      <c r="D11" s="50"/>
      <c r="E11" s="60">
        <v>352711</v>
      </c>
      <c r="F11" s="61">
        <v>89627</v>
      </c>
      <c r="G11" s="62"/>
    </row>
    <row r="12" spans="1:14">
      <c r="A12" s="50"/>
      <c r="B12" s="50"/>
      <c r="C12" s="50"/>
      <c r="D12" s="50"/>
      <c r="E12" s="60">
        <v>253072</v>
      </c>
      <c r="F12" s="61">
        <v>149946</v>
      </c>
      <c r="G12" s="62"/>
    </row>
    <row r="13" spans="1:14">
      <c r="A13" s="50"/>
      <c r="B13" s="50"/>
      <c r="C13" s="50"/>
      <c r="D13" s="50"/>
      <c r="E13" s="60">
        <v>612235</v>
      </c>
      <c r="F13" s="61">
        <v>145893</v>
      </c>
      <c r="G13" s="62"/>
    </row>
    <row r="14" spans="1:14">
      <c r="A14" s="50"/>
      <c r="B14" s="50"/>
      <c r="C14" s="50"/>
      <c r="D14" s="50"/>
      <c r="E14" s="60">
        <v>611810</v>
      </c>
      <c r="F14" s="61">
        <v>64757</v>
      </c>
      <c r="G14" s="62"/>
    </row>
    <row r="15" spans="1:14">
      <c r="A15" s="50"/>
      <c r="B15" s="50"/>
      <c r="C15" s="50"/>
      <c r="D15" s="50"/>
      <c r="E15" s="60">
        <v>602693</v>
      </c>
      <c r="F15" s="61">
        <v>71478</v>
      </c>
      <c r="G15" s="62"/>
    </row>
    <row r="16" spans="1:14">
      <c r="A16" s="50"/>
      <c r="B16" s="50"/>
      <c r="C16" s="50"/>
      <c r="D16" s="50"/>
      <c r="E16" s="60">
        <v>110608</v>
      </c>
      <c r="F16" s="61">
        <v>131505</v>
      </c>
      <c r="G16" s="62"/>
    </row>
  </sheetData>
  <mergeCells count="2">
    <mergeCell ref="A1:B1"/>
    <mergeCell ref="E1:G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30211CE-BF81-4E99-B601-3DC5C98F7D0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</vt:i4>
      </vt:variant>
    </vt:vector>
  </HeadingPairs>
  <TitlesOfParts>
    <vt:vector size="15" baseType="lpstr">
      <vt:lpstr>Markssheet</vt:lpstr>
      <vt:lpstr>Commission Calculation</vt:lpstr>
      <vt:lpstr>Assignment2</vt:lpstr>
      <vt:lpstr>Assignment3</vt:lpstr>
      <vt:lpstr>Assignment</vt:lpstr>
      <vt:lpstr>Salary Slip</vt:lpstr>
      <vt:lpstr>Attendance Sheet</vt:lpstr>
      <vt:lpstr>Parctice Sheet- Sumif</vt:lpstr>
      <vt:lpstr>Sheet1</vt:lpstr>
      <vt:lpstr>Sheet2</vt:lpstr>
      <vt:lpstr>Parctice Sheet-Sumifs</vt:lpstr>
      <vt:lpstr>Vlookup</vt:lpstr>
      <vt:lpstr>Vlookup1</vt:lpstr>
      <vt:lpstr>Vlookup 2</vt:lpstr>
      <vt:lpstr>Markssheet!Print_Area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Manzoor Alam</dc:creator>
  <cp:lastModifiedBy>Teachers</cp:lastModifiedBy>
  <dcterms:created xsi:type="dcterms:W3CDTF">2023-03-21T14:57:36Z</dcterms:created>
  <dcterms:modified xsi:type="dcterms:W3CDTF">2026-09-17T14:45:35Z</dcterms:modified>
</cp:coreProperties>
</file>